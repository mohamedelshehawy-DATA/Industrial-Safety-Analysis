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AD574656-EC74-4539-A9B3-D6D98F4AFC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 bord" sheetId="2" r:id="rId1"/>
    <sheet name="Sheet1" sheetId="3" r:id="rId2"/>
    <sheet name="raw data" sheetId="1" r:id="rId3"/>
  </sheets>
  <definedNames>
    <definedName name="Slicer_Countries">#N/A</definedName>
    <definedName name="Slicer_Critical_Risk">#N/A</definedName>
    <definedName name="Slicer_Employee_or_Third_Party">#N/A</definedName>
    <definedName name="Slicer_Industry_Sector">#N/A</definedName>
    <definedName name="Slicer_month">#N/A</definedName>
    <definedName name="Slicer_year">#N/A</definedName>
  </definedNames>
  <calcPr calcId="191028"/>
  <pivotCaches>
    <pivotCache cacheId="94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</calcChain>
</file>

<file path=xl/sharedStrings.xml><?xml version="1.0" encoding="utf-8"?>
<sst xmlns="http://schemas.openxmlformats.org/spreadsheetml/2006/main" count="3452" uniqueCount="99">
  <si>
    <t>How many accidents occur each year</t>
  </si>
  <si>
    <t>year</t>
  </si>
  <si>
    <t>Count of Data</t>
  </si>
  <si>
    <t>Grand Total</t>
  </si>
  <si>
    <t>Are accidents increasing or decreasing over time</t>
  </si>
  <si>
    <t>month</t>
  </si>
  <si>
    <t>01</t>
  </si>
  <si>
    <t>02</t>
  </si>
  <si>
    <t>03</t>
  </si>
  <si>
    <t>Count of Accident Level</t>
  </si>
  <si>
    <t>Potential Accident Level</t>
  </si>
  <si>
    <t>04</t>
  </si>
  <si>
    <t>Accident Level</t>
  </si>
  <si>
    <t>I</t>
  </si>
  <si>
    <t>II</t>
  </si>
  <si>
    <t>III</t>
  </si>
  <si>
    <t>IV</t>
  </si>
  <si>
    <t>V</t>
  </si>
  <si>
    <t>VI</t>
  </si>
  <si>
    <t>05</t>
  </si>
  <si>
    <t>06</t>
  </si>
  <si>
    <t>07</t>
  </si>
  <si>
    <t>08</t>
  </si>
  <si>
    <t>09</t>
  </si>
  <si>
    <t>10</t>
  </si>
  <si>
    <t>11</t>
  </si>
  <si>
    <t>12</t>
  </si>
  <si>
    <t>Which country has the highest number of accidents?</t>
  </si>
  <si>
    <t>Countries</t>
  </si>
  <si>
    <t>Country_01</t>
  </si>
  <si>
    <t>Country_02</t>
  </si>
  <si>
    <t>Country_03</t>
  </si>
  <si>
    <t>Which industry has the highest number of accidents?</t>
  </si>
  <si>
    <t>Industry Sector</t>
  </si>
  <si>
    <t>Metals</t>
  </si>
  <si>
    <t>Mining</t>
  </si>
  <si>
    <t>Others</t>
  </si>
  <si>
    <t>Which gender has the highest number of accidents?</t>
  </si>
  <si>
    <t>Genre</t>
  </si>
  <si>
    <t>Female</t>
  </si>
  <si>
    <t>Male</t>
  </si>
  <si>
    <t>Which employee  has the highest number of accidents?</t>
  </si>
  <si>
    <t>Employee or Third Party</t>
  </si>
  <si>
    <t>Employee</t>
  </si>
  <si>
    <t>Third Party</t>
  </si>
  <si>
    <t>Third Party (Remote)</t>
  </si>
  <si>
    <t>industry has the most severe accidents</t>
  </si>
  <si>
    <t>What are the most top 10 common critical risks</t>
  </si>
  <si>
    <t>Employee Total</t>
  </si>
  <si>
    <t>Critical Risk</t>
  </si>
  <si>
    <t>Third Party Total</t>
  </si>
  <si>
    <t>Pressed</t>
  </si>
  <si>
    <t>Manual Tools</t>
  </si>
  <si>
    <t>Third Party (Remote) Total</t>
  </si>
  <si>
    <t>Chemical substances</t>
  </si>
  <si>
    <t>Cut</t>
  </si>
  <si>
    <t>Venomous Animals</t>
  </si>
  <si>
    <t>Projection</t>
  </si>
  <si>
    <t>Fall</t>
  </si>
  <si>
    <t>Vehicles and Mobile Equipment</t>
  </si>
  <si>
    <t>remains of choco</t>
  </si>
  <si>
    <t>Pressurized Systems</t>
  </si>
  <si>
    <t>Fall prevention (same level)</t>
  </si>
  <si>
    <t>Bees</t>
  </si>
  <si>
    <t>Data</t>
  </si>
  <si>
    <t>Local</t>
  </si>
  <si>
    <t>Local_01</t>
  </si>
  <si>
    <t>Local_02</t>
  </si>
  <si>
    <t>Local_03</t>
  </si>
  <si>
    <t>Local_04</t>
  </si>
  <si>
    <t>Local_05</t>
  </si>
  <si>
    <t>Local_06</t>
  </si>
  <si>
    <t>Liquid Metal</t>
  </si>
  <si>
    <t>Electrical installation</t>
  </si>
  <si>
    <t>Confined space</t>
  </si>
  <si>
    <t>Local_07</t>
  </si>
  <si>
    <t>Pressurized Systems / Chemical Substances</t>
  </si>
  <si>
    <t>Local_08</t>
  </si>
  <si>
    <t>Blocking and isolation of energies</t>
  </si>
  <si>
    <t>Suspended Loads</t>
  </si>
  <si>
    <t>Local_10</t>
  </si>
  <si>
    <t>Poll</t>
  </si>
  <si>
    <t>Local_09</t>
  </si>
  <si>
    <t>Local_11</t>
  </si>
  <si>
    <t>Fall prevention</t>
  </si>
  <si>
    <t xml:space="preserve">
Not applicable</t>
  </si>
  <si>
    <t>Not applicable</t>
  </si>
  <si>
    <t>Local_12</t>
  </si>
  <si>
    <t>Traffic</t>
  </si>
  <si>
    <t>Plates</t>
  </si>
  <si>
    <t>Projection/Burning</t>
  </si>
  <si>
    <t>Projection/Choco</t>
  </si>
  <si>
    <t>Machine Protection</t>
  </si>
  <si>
    <t>Power lock</t>
  </si>
  <si>
    <t>Burn</t>
  </si>
  <si>
    <t>Projection/Manual Tools</t>
  </si>
  <si>
    <t>Individual protection equipment</t>
  </si>
  <si>
    <t>Electrical Shock</t>
  </si>
  <si>
    <t>Projection of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</si>
</sst>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1F1F1F"/>
      <name val="Google Sans Text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\ hh:mm:ss"/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Workplace Accidents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4F81BD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bord'!$A$4:$A$6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'dash bord'!$B$4:$B$6</c:f>
              <c:numCache>
                <c:formatCode>General</c:formatCode>
                <c:ptCount val="2"/>
                <c:pt idx="0">
                  <c:v>282</c:v>
                </c:pt>
                <c:pt idx="1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6-4B78-AE91-975D5B3FC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9"/>
        <c:overlap val="-27"/>
        <c:axId val="2040844295"/>
        <c:axId val="1388056072"/>
      </c:barChart>
      <c:catAx>
        <c:axId val="2040844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56072"/>
        <c:crosses val="autoZero"/>
        <c:auto val="1"/>
        <c:lblAlgn val="ctr"/>
        <c:lblOffset val="100"/>
        <c:noMultiLvlLbl val="0"/>
      </c:catAx>
      <c:valAx>
        <c:axId val="1388056072"/>
        <c:scaling>
          <c:orientation val="minMax"/>
          <c:max val="400"/>
        </c:scaling>
        <c:delete val="1"/>
        <c:axPos val="l"/>
        <c:numFmt formatCode="General" sourceLinked="1"/>
        <c:majorTickMark val="none"/>
        <c:minorTickMark val="none"/>
        <c:tickLblPos val="nextTo"/>
        <c:crossAx val="2040844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Workplace Accident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 bord'!$B$9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 bord'!$A$10:$A$22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'dash bord'!$B$10:$B$22</c:f>
              <c:numCache>
                <c:formatCode>General</c:formatCode>
                <c:ptCount val="12"/>
                <c:pt idx="0">
                  <c:v>39</c:v>
                </c:pt>
                <c:pt idx="1">
                  <c:v>61</c:v>
                </c:pt>
                <c:pt idx="2">
                  <c:v>50</c:v>
                </c:pt>
                <c:pt idx="3">
                  <c:v>50</c:v>
                </c:pt>
                <c:pt idx="4">
                  <c:v>40</c:v>
                </c:pt>
                <c:pt idx="5">
                  <c:v>50</c:v>
                </c:pt>
                <c:pt idx="6">
                  <c:v>24</c:v>
                </c:pt>
                <c:pt idx="7">
                  <c:v>21</c:v>
                </c:pt>
                <c:pt idx="8">
                  <c:v>24</c:v>
                </c:pt>
                <c:pt idx="9">
                  <c:v>21</c:v>
                </c:pt>
                <c:pt idx="10">
                  <c:v>13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9-43EF-8FE5-D09585F1C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98247"/>
        <c:axId val="1818700295"/>
      </c:lineChart>
      <c:catAx>
        <c:axId val="1818698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00295"/>
        <c:crosses val="autoZero"/>
        <c:auto val="1"/>
        <c:lblAlgn val="ctr"/>
        <c:lblOffset val="100"/>
        <c:noMultiLvlLbl val="0"/>
      </c:catAx>
      <c:valAx>
        <c:axId val="1818700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698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bord'!$B$32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bord'!$A$33:$A$36</c:f>
              <c:strCache>
                <c:ptCount val="3"/>
                <c:pt idx="0">
                  <c:v>Country_01</c:v>
                </c:pt>
                <c:pt idx="1">
                  <c:v>Country_02</c:v>
                </c:pt>
                <c:pt idx="2">
                  <c:v>Country_03</c:v>
                </c:pt>
              </c:strCache>
            </c:strRef>
          </c:cat>
          <c:val>
            <c:numRef>
              <c:f>'dash bord'!$B$33:$B$36</c:f>
              <c:numCache>
                <c:formatCode>General</c:formatCode>
                <c:ptCount val="3"/>
                <c:pt idx="0">
                  <c:v>247</c:v>
                </c:pt>
                <c:pt idx="1">
                  <c:v>131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8-4773-B8DF-F3DF147A6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191112"/>
        <c:axId val="704377864"/>
      </c:barChart>
      <c:catAx>
        <c:axId val="1774191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77864"/>
        <c:crosses val="autoZero"/>
        <c:auto val="1"/>
        <c:lblAlgn val="ctr"/>
        <c:lblOffset val="100"/>
        <c:noMultiLvlLbl val="0"/>
      </c:catAx>
      <c:valAx>
        <c:axId val="704377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9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Industry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bord'!$B$39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bord'!$A$40:$A$43</c:f>
              <c:strCache>
                <c:ptCount val="3"/>
                <c:pt idx="0">
                  <c:v>Metals</c:v>
                </c:pt>
                <c:pt idx="1">
                  <c:v>Mining</c:v>
                </c:pt>
                <c:pt idx="2">
                  <c:v>Others</c:v>
                </c:pt>
              </c:strCache>
            </c:strRef>
          </c:cat>
          <c:val>
            <c:numRef>
              <c:f>'dash bord'!$B$40:$B$43</c:f>
              <c:numCache>
                <c:formatCode>General</c:formatCode>
                <c:ptCount val="3"/>
                <c:pt idx="0">
                  <c:v>136</c:v>
                </c:pt>
                <c:pt idx="1">
                  <c:v>236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A-44EE-8894-A57D6B087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109320"/>
        <c:axId val="516112904"/>
      </c:barChart>
      <c:catAx>
        <c:axId val="51610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2904"/>
        <c:crosses val="autoZero"/>
        <c:auto val="1"/>
        <c:lblAlgn val="ctr"/>
        <c:lblOffset val="100"/>
        <c:noMultiLvlLbl val="0"/>
      </c:catAx>
      <c:valAx>
        <c:axId val="516112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10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bord'!$B$46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bord'!$A$47:$A$49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'dash bord'!$B$47:$B$49</c:f>
              <c:numCache>
                <c:formatCode>General</c:formatCode>
                <c:ptCount val="2"/>
                <c:pt idx="0">
                  <c:v>22</c:v>
                </c:pt>
                <c:pt idx="1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2-48E5-9CAD-B5134EF00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205448"/>
        <c:axId val="2016387592"/>
      </c:barChart>
      <c:catAx>
        <c:axId val="1774205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87592"/>
        <c:crosses val="autoZero"/>
        <c:auto val="1"/>
        <c:lblAlgn val="ctr"/>
        <c:lblOffset val="100"/>
        <c:noMultiLvlLbl val="0"/>
      </c:catAx>
      <c:valAx>
        <c:axId val="201638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05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Severe Accidents by Worker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38DD5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bord'!$C$59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38DD5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 bord'!$A$60:$B$66</c:f>
              <c:multiLvlStrCache>
                <c:ptCount val="3"/>
                <c:lvl>
                  <c:pt idx="0">
                    <c:v>V</c:v>
                  </c:pt>
                  <c:pt idx="1">
                    <c:v>V</c:v>
                  </c:pt>
                  <c:pt idx="2">
                    <c:v>V</c:v>
                  </c:pt>
                </c:lvl>
                <c:lvl>
                  <c:pt idx="0">
                    <c:v>Employee</c:v>
                  </c:pt>
                  <c:pt idx="1">
                    <c:v>Third Party</c:v>
                  </c:pt>
                  <c:pt idx="2">
                    <c:v>Third Party (Remote)</c:v>
                  </c:pt>
                </c:lvl>
              </c:multiLvlStrCache>
            </c:multiLvlStrRef>
          </c:cat>
          <c:val>
            <c:numRef>
              <c:f>'dash bord'!$C$60:$C$66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4-42C9-8ED7-E8ADC1E0C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483335"/>
        <c:axId val="2034880007"/>
      </c:barChart>
      <c:catAx>
        <c:axId val="191248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80007"/>
        <c:crosses val="autoZero"/>
        <c:auto val="1"/>
        <c:lblAlgn val="ctr"/>
        <c:lblOffset val="100"/>
        <c:noMultiLvlLbl val="0"/>
      </c:catAx>
      <c:valAx>
        <c:axId val="2034880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2483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Accidents by Worker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bord'!$B$52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bord'!$A$53:$A$56</c:f>
              <c:strCache>
                <c:ptCount val="3"/>
                <c:pt idx="0">
                  <c:v>Employee</c:v>
                </c:pt>
                <c:pt idx="1">
                  <c:v>Third Party</c:v>
                </c:pt>
                <c:pt idx="2">
                  <c:v>Third Party (Remote)</c:v>
                </c:pt>
              </c:strCache>
            </c:strRef>
          </c:cat>
          <c:val>
            <c:numRef>
              <c:f>'dash bord'!$B$53:$B$56</c:f>
              <c:numCache>
                <c:formatCode>General</c:formatCode>
                <c:ptCount val="3"/>
                <c:pt idx="0">
                  <c:v>180</c:v>
                </c:pt>
                <c:pt idx="1">
                  <c:v>182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C-496E-BA24-5651C1329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449351"/>
        <c:axId val="1912481287"/>
      </c:barChart>
      <c:catAx>
        <c:axId val="184344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81287"/>
        <c:crosses val="autoZero"/>
        <c:auto val="1"/>
        <c:lblAlgn val="ctr"/>
        <c:lblOffset val="100"/>
        <c:noMultiLvlLbl val="0"/>
      </c:catAx>
      <c:valAx>
        <c:axId val="1912481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3449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[my_project.xlsx]dash bord!PivotTable9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Critical Risks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bord'!$H$61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bord'!$G$62:$G$75</c:f>
              <c:strCache>
                <c:ptCount val="13"/>
                <c:pt idx="0">
                  <c:v>Others</c:v>
                </c:pt>
                <c:pt idx="1">
                  <c:v>Pressed</c:v>
                </c:pt>
                <c:pt idx="2">
                  <c:v>Manual Tools</c:v>
                </c:pt>
                <c:pt idx="3">
                  <c:v>Chemical substances</c:v>
                </c:pt>
                <c:pt idx="4">
                  <c:v>Cut</c:v>
                </c:pt>
                <c:pt idx="5">
                  <c:v>Venomous Animals</c:v>
                </c:pt>
                <c:pt idx="6">
                  <c:v>Projection</c:v>
                </c:pt>
                <c:pt idx="7">
                  <c:v>Fall</c:v>
                </c:pt>
                <c:pt idx="8">
                  <c:v>Vehicles and Mobile Equipment</c:v>
                </c:pt>
                <c:pt idx="9">
                  <c:v>remains of choco</c:v>
                </c:pt>
                <c:pt idx="10">
                  <c:v>Pressurized Systems</c:v>
                </c:pt>
                <c:pt idx="11">
                  <c:v>Fall prevention (same level)</c:v>
                </c:pt>
                <c:pt idx="12">
                  <c:v>Bees</c:v>
                </c:pt>
              </c:strCache>
            </c:strRef>
          </c:cat>
          <c:val>
            <c:numRef>
              <c:f>'dash bord'!$H$62:$H$75</c:f>
              <c:numCache>
                <c:formatCode>General</c:formatCode>
                <c:ptCount val="13"/>
                <c:pt idx="0">
                  <c:v>229</c:v>
                </c:pt>
                <c:pt idx="1">
                  <c:v>24</c:v>
                </c:pt>
                <c:pt idx="2">
                  <c:v>20</c:v>
                </c:pt>
                <c:pt idx="3">
                  <c:v>17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2-4DAB-ACE0-C89FC543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8323463"/>
        <c:axId val="1618326535"/>
      </c:barChart>
      <c:catAx>
        <c:axId val="1618323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326535"/>
        <c:crosses val="autoZero"/>
        <c:auto val="1"/>
        <c:lblAlgn val="ctr"/>
        <c:lblOffset val="100"/>
        <c:noMultiLvlLbl val="0"/>
      </c:catAx>
      <c:valAx>
        <c:axId val="161832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323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Near Miss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7-4D71-BAF9-41E326E7E69A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88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7-4D71-BAF9-41E326E7E69A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III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5"/>
                <c:pt idx="0">
                  <c:v>89</c:v>
                </c:pt>
                <c:pt idx="1">
                  <c:v>14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7-4D71-BAF9-41E326E7E69A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5"/>
                <c:pt idx="0">
                  <c:v>77</c:v>
                </c:pt>
                <c:pt idx="1">
                  <c:v>16</c:v>
                </c:pt>
                <c:pt idx="2">
                  <c:v>26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7-4D71-BAF9-41E326E7E69A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</c:strCache>
            </c:strRef>
          </c:cat>
          <c:val>
            <c:numRef>
              <c:f>Sheet1!$F$5:$F$10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7-4D71-BAF9-41E326E7E69A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VI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</c:strCache>
            </c:strRef>
          </c:cat>
          <c:val>
            <c:numRef>
              <c:f>Sheet1!$G$5:$G$10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47-4D71-BAF9-41E326E7E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501448"/>
        <c:axId val="1805503496"/>
      </c:barChart>
      <c:catAx>
        <c:axId val="1805501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03496"/>
        <c:crosses val="autoZero"/>
        <c:auto val="1"/>
        <c:lblAlgn val="ctr"/>
        <c:lblOffset val="100"/>
        <c:noMultiLvlLbl val="0"/>
      </c:catAx>
      <c:valAx>
        <c:axId val="180550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0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6365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90</xdr:row>
      <xdr:rowOff>133350</xdr:rowOff>
    </xdr:from>
    <xdr:to>
      <xdr:col>3</xdr:col>
      <xdr:colOff>266700</xdr:colOff>
      <xdr:row>152</xdr:row>
      <xdr:rowOff>19050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369D593-9552-0C3F-6671-F83C1AD32821}"/>
            </a:ext>
            <a:ext uri="{147F2762-F138-4A5C-976F-8EAC2B608ADB}">
              <a16:predDERef xmlns:a16="http://schemas.microsoft.com/office/drawing/2014/main" pred="{7CC11D0B-341B-141D-7E3C-1A81703CB93C}"/>
            </a:ext>
          </a:extLst>
        </xdr:cNvPr>
        <xdr:cNvSpPr/>
      </xdr:nvSpPr>
      <xdr:spPr>
        <a:xfrm>
          <a:off x="0" y="17287875"/>
          <a:ext cx="3457575" cy="11696700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4800" b="1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161925</xdr:colOff>
      <xdr:row>90</xdr:row>
      <xdr:rowOff>133350</xdr:rowOff>
    </xdr:from>
    <xdr:to>
      <xdr:col>7</xdr:col>
      <xdr:colOff>1495425</xdr:colOff>
      <xdr:row>106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1A058-A6BF-57CE-BF6A-16000462CAEF}"/>
            </a:ext>
            <a:ext uri="{147F2762-F138-4A5C-976F-8EAC2B608ADB}">
              <a16:predDERef xmlns:a16="http://schemas.microsoft.com/office/drawing/2014/main" pred="{2369D593-9552-0C3F-6671-F83C1AD32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1485900</xdr:colOff>
      <xdr:row>90</xdr:row>
      <xdr:rowOff>133350</xdr:rowOff>
    </xdr:from>
    <xdr:to>
      <xdr:col>17</xdr:col>
      <xdr:colOff>47625</xdr:colOff>
      <xdr:row>106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E4D611-2D78-1688-8F03-16F8B60F3DFD}"/>
            </a:ext>
            <a:ext uri="{147F2762-F138-4A5C-976F-8EAC2B608ADB}">
              <a16:predDERef xmlns:a16="http://schemas.microsoft.com/office/drawing/2014/main" pred="{DEA1A058-A6BF-57CE-BF6A-16000462C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161925</xdr:colOff>
      <xdr:row>106</xdr:row>
      <xdr:rowOff>0</xdr:rowOff>
    </xdr:from>
    <xdr:to>
      <xdr:col>7</xdr:col>
      <xdr:colOff>1476375</xdr:colOff>
      <xdr:row>120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60EFCB-A86D-9873-D1CF-10BAF1E7E24E}"/>
            </a:ext>
            <a:ext uri="{147F2762-F138-4A5C-976F-8EAC2B608ADB}">
              <a16:predDERef xmlns:a16="http://schemas.microsoft.com/office/drawing/2014/main" pred="{F9E4D611-2D78-1688-8F03-16F8B60F3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1485900</xdr:colOff>
      <xdr:row>106</xdr:row>
      <xdr:rowOff>0</xdr:rowOff>
    </xdr:from>
    <xdr:to>
      <xdr:col>16</xdr:col>
      <xdr:colOff>581025</xdr:colOff>
      <xdr:row>120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871C1D-4FA9-BE51-0040-4A934D03BD94}"/>
            </a:ext>
            <a:ext uri="{147F2762-F138-4A5C-976F-8EAC2B608ADB}">
              <a16:predDERef xmlns:a16="http://schemas.microsoft.com/office/drawing/2014/main" pred="{9D60EFCB-A86D-9873-D1CF-10BAF1E7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1457325</xdr:colOff>
      <xdr:row>134</xdr:row>
      <xdr:rowOff>152400</xdr:rowOff>
    </xdr:from>
    <xdr:to>
      <xdr:col>16</xdr:col>
      <xdr:colOff>590550</xdr:colOff>
      <xdr:row>152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D941FD-C9C8-DC63-4BFA-953C8FB2FDFB}"/>
            </a:ext>
            <a:ext uri="{147F2762-F138-4A5C-976F-8EAC2B608ADB}">
              <a16:predDERef xmlns:a16="http://schemas.microsoft.com/office/drawing/2014/main" pred="{DE871C1D-4FA9-BE51-0040-4A934D03B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152400</xdr:colOff>
      <xdr:row>120</xdr:row>
      <xdr:rowOff>85725</xdr:rowOff>
    </xdr:from>
    <xdr:to>
      <xdr:col>7</xdr:col>
      <xdr:colOff>1466850</xdr:colOff>
      <xdr:row>134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F526D4-73ED-F7CB-A540-4E4C14E7777C}"/>
            </a:ext>
            <a:ext uri="{147F2762-F138-4A5C-976F-8EAC2B608ADB}">
              <a16:predDERef xmlns:a16="http://schemas.microsoft.com/office/drawing/2014/main" pred="{D4D941FD-C9C8-DC63-4BFA-953C8FB2F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1466850</xdr:colOff>
      <xdr:row>120</xdr:row>
      <xdr:rowOff>66675</xdr:rowOff>
    </xdr:from>
    <xdr:to>
      <xdr:col>16</xdr:col>
      <xdr:colOff>590550</xdr:colOff>
      <xdr:row>134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5A899F-BB6D-8E95-80F5-04C6E7100AA2}"/>
            </a:ext>
            <a:ext uri="{147F2762-F138-4A5C-976F-8EAC2B608ADB}">
              <a16:predDERef xmlns:a16="http://schemas.microsoft.com/office/drawing/2014/main" pred="{F9F526D4-73ED-F7CB-A540-4E4C14E77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133350</xdr:colOff>
      <xdr:row>134</xdr:row>
      <xdr:rowOff>180975</xdr:rowOff>
    </xdr:from>
    <xdr:to>
      <xdr:col>7</xdr:col>
      <xdr:colOff>1447800</xdr:colOff>
      <xdr:row>152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A89E43-AE35-6C05-CB42-3EFBBD4C0C75}"/>
            </a:ext>
            <a:ext uri="{147F2762-F138-4A5C-976F-8EAC2B608ADB}">
              <a16:predDERef xmlns:a16="http://schemas.microsoft.com/office/drawing/2014/main" pred="{045A899F-BB6D-8E95-80F5-04C6E7100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</xdr:colOff>
      <xdr:row>81</xdr:row>
      <xdr:rowOff>161925</xdr:rowOff>
    </xdr:from>
    <xdr:to>
      <xdr:col>17</xdr:col>
      <xdr:colOff>28575</xdr:colOff>
      <xdr:row>90</xdr:row>
      <xdr:rowOff>123825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96391F0-89A6-A292-A1D5-C780BB7C5269}"/>
            </a:ext>
            <a:ext uri="{147F2762-F138-4A5C-976F-8EAC2B608ADB}">
              <a16:predDERef xmlns:a16="http://schemas.microsoft.com/office/drawing/2014/main" pred="{15A89E43-AE35-6C05-CB42-3EFBBD4C0C75}"/>
            </a:ext>
          </a:extLst>
        </xdr:cNvPr>
        <xdr:cNvSpPr/>
      </xdr:nvSpPr>
      <xdr:spPr>
        <a:xfrm>
          <a:off x="28575" y="15601950"/>
          <a:ext cx="13963650" cy="16764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9525</xdr:colOff>
      <xdr:row>85</xdr:row>
      <xdr:rowOff>114300</xdr:rowOff>
    </xdr:from>
    <xdr:to>
      <xdr:col>3</xdr:col>
      <xdr:colOff>381000</xdr:colOff>
      <xdr:row>87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A25934-1094-685C-E1EC-106BD5045263}"/>
            </a:ext>
            <a:ext uri="{147F2762-F138-4A5C-976F-8EAC2B608ADB}">
              <a16:predDERef xmlns:a16="http://schemas.microsoft.com/office/drawing/2014/main" pred="{C96391F0-89A6-A292-A1D5-C780BB7C5269}"/>
            </a:ext>
          </a:extLst>
        </xdr:cNvPr>
        <xdr:cNvSpPr txBox="1"/>
      </xdr:nvSpPr>
      <xdr:spPr>
        <a:xfrm>
          <a:off x="1695450" y="16316325"/>
          <a:ext cx="1876425" cy="4476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>
              <a:solidFill>
                <a:schemeClr val="bg1"/>
              </a:solidFill>
              <a:latin typeface="+mn-lt"/>
              <a:ea typeface="+mn-lt"/>
              <a:cs typeface="+mn-lt"/>
            </a:rPr>
            <a:t>📊 Total Accidents</a:t>
          </a:r>
        </a:p>
      </xdr:txBody>
    </xdr:sp>
    <xdr:clientData/>
  </xdr:twoCellAnchor>
  <xdr:twoCellAnchor>
    <xdr:from>
      <xdr:col>3</xdr:col>
      <xdr:colOff>428625</xdr:colOff>
      <xdr:row>85</xdr:row>
      <xdr:rowOff>114300</xdr:rowOff>
    </xdr:from>
    <xdr:to>
      <xdr:col>7</xdr:col>
      <xdr:colOff>1162050</xdr:colOff>
      <xdr:row>87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EB0C6E6-3173-4630-93BF-F954766FBFD3}"/>
            </a:ext>
            <a:ext uri="{147F2762-F138-4A5C-976F-8EAC2B608ADB}">
              <a16:predDERef xmlns:a16="http://schemas.microsoft.com/office/drawing/2014/main" pred="{4DA25934-1094-685C-E1EC-106BD5045263}"/>
            </a:ext>
          </a:extLst>
        </xdr:cNvPr>
        <xdr:cNvSpPr txBox="1"/>
      </xdr:nvSpPr>
      <xdr:spPr>
        <a:xfrm>
          <a:off x="3619500" y="16316325"/>
          <a:ext cx="4514850" cy="4476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bg1"/>
              </a:solidFill>
              <a:latin typeface="+mn-lt"/>
              <a:ea typeface="+mn-lt"/>
              <a:cs typeface="+mn-lt"/>
            </a:rPr>
            <a:t>⚠️Severe Accidents</a:t>
          </a:r>
        </a:p>
      </xdr:txBody>
    </xdr:sp>
    <xdr:clientData/>
  </xdr:twoCellAnchor>
  <xdr:twoCellAnchor>
    <xdr:from>
      <xdr:col>7</xdr:col>
      <xdr:colOff>1133475</xdr:colOff>
      <xdr:row>85</xdr:row>
      <xdr:rowOff>114300</xdr:rowOff>
    </xdr:from>
    <xdr:to>
      <xdr:col>13</xdr:col>
      <xdr:colOff>19050</xdr:colOff>
      <xdr:row>87</xdr:row>
      <xdr:rowOff>180975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BB33633-B7B1-43F5-85EA-EC7E4027AF82}"/>
            </a:ext>
            <a:ext uri="{147F2762-F138-4A5C-976F-8EAC2B608ADB}">
              <a16:predDERef xmlns:a16="http://schemas.microsoft.com/office/drawing/2014/main" pred="{EEB0C6E6-3173-4630-93BF-F954766FBFD3}"/>
            </a:ext>
          </a:extLst>
        </xdr:cNvPr>
        <xdr:cNvSpPr txBox="1"/>
      </xdr:nvSpPr>
      <xdr:spPr>
        <a:xfrm>
          <a:off x="8105775" y="16316325"/>
          <a:ext cx="3438525" cy="4476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bg1"/>
              </a:solidFill>
              <a:latin typeface="+mn-lt"/>
              <a:ea typeface="+mn-lt"/>
              <a:cs typeface="+mn-lt"/>
            </a:rPr>
            <a:t>👷High-Risk Worker</a:t>
          </a:r>
        </a:p>
      </xdr:txBody>
    </xdr:sp>
    <xdr:clientData/>
  </xdr:twoCellAnchor>
  <xdr:twoCellAnchor>
    <xdr:from>
      <xdr:col>12</xdr:col>
      <xdr:colOff>504825</xdr:colOff>
      <xdr:row>85</xdr:row>
      <xdr:rowOff>123825</xdr:rowOff>
    </xdr:from>
    <xdr:to>
      <xdr:col>16</xdr:col>
      <xdr:colOff>171450</xdr:colOff>
      <xdr:row>88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921510-FF1A-4BB6-9218-8B08CEC99D27}"/>
            </a:ext>
            <a:ext uri="{147F2762-F138-4A5C-976F-8EAC2B608ADB}">
              <a16:predDERef xmlns:a16="http://schemas.microsoft.com/office/drawing/2014/main" pred="{2BB33633-B7B1-43F5-85EA-EC7E4027AF82}"/>
            </a:ext>
          </a:extLst>
        </xdr:cNvPr>
        <xdr:cNvSpPr txBox="1"/>
      </xdr:nvSpPr>
      <xdr:spPr>
        <a:xfrm>
          <a:off x="11420475" y="16325850"/>
          <a:ext cx="2105025" cy="4476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bg1"/>
              </a:solidFill>
              <a:latin typeface="+mn-lt"/>
              <a:ea typeface="+mn-lt"/>
              <a:cs typeface="+mn-lt"/>
            </a:rPr>
            <a:t>☠️Top Critical Risk</a:t>
          </a:r>
        </a:p>
      </xdr:txBody>
    </xdr:sp>
    <xdr:clientData/>
  </xdr:twoCellAnchor>
  <xdr:twoCellAnchor>
    <xdr:from>
      <xdr:col>2</xdr:col>
      <xdr:colOff>9525</xdr:colOff>
      <xdr:row>87</xdr:row>
      <xdr:rowOff>171450</xdr:rowOff>
    </xdr:from>
    <xdr:to>
      <xdr:col>4</xdr:col>
      <xdr:colOff>171450</xdr:colOff>
      <xdr:row>90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C66CD6-2F87-2BFE-3DC6-3D139B4A1961}"/>
            </a:ext>
            <a:ext uri="{147F2762-F138-4A5C-976F-8EAC2B608ADB}">
              <a16:predDERef xmlns:a16="http://schemas.microsoft.com/office/drawing/2014/main" pred="{7F921510-FF1A-4BB6-9218-8B08CEC99D27}"/>
            </a:ext>
          </a:extLst>
        </xdr:cNvPr>
        <xdr:cNvSpPr txBox="1"/>
      </xdr:nvSpPr>
      <xdr:spPr>
        <a:xfrm>
          <a:off x="1695450" y="16754475"/>
          <a:ext cx="2276475" cy="43815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416</a:t>
          </a:r>
        </a:p>
      </xdr:txBody>
    </xdr:sp>
    <xdr:clientData/>
  </xdr:twoCellAnchor>
  <xdr:twoCellAnchor>
    <xdr:from>
      <xdr:col>4</xdr:col>
      <xdr:colOff>180975</xdr:colOff>
      <xdr:row>87</xdr:row>
      <xdr:rowOff>180975</xdr:rowOff>
    </xdr:from>
    <xdr:to>
      <xdr:col>7</xdr:col>
      <xdr:colOff>1152525</xdr:colOff>
      <xdr:row>90</xdr:row>
      <xdr:rowOff>47625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CA5DC67-6142-4583-8E10-09DE28E3CACF}"/>
            </a:ext>
            <a:ext uri="{147F2762-F138-4A5C-976F-8EAC2B608ADB}">
              <a16:predDERef xmlns:a16="http://schemas.microsoft.com/office/drawing/2014/main" pred="{69C66CD6-2F87-2BFE-3DC6-3D139B4A1961}"/>
            </a:ext>
          </a:extLst>
        </xdr:cNvPr>
        <xdr:cNvSpPr txBox="1"/>
      </xdr:nvSpPr>
      <xdr:spPr>
        <a:xfrm>
          <a:off x="3981450" y="16764000"/>
          <a:ext cx="4143375" cy="438150"/>
        </a:xfrm>
        <a:prstGeom prst="rect">
          <a:avLst/>
        </a:prstGeom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bg1"/>
              </a:solidFill>
              <a:latin typeface="+mn-lt"/>
              <a:ea typeface="+mn-lt"/>
              <a:cs typeface="+mn-lt"/>
            </a:rPr>
            <a:t>9           </a:t>
          </a:r>
        </a:p>
      </xdr:txBody>
    </xdr:sp>
    <xdr:clientData/>
  </xdr:twoCellAnchor>
  <xdr:twoCellAnchor>
    <xdr:from>
      <xdr:col>7</xdr:col>
      <xdr:colOff>1133475</xdr:colOff>
      <xdr:row>87</xdr:row>
      <xdr:rowOff>171450</xdr:rowOff>
    </xdr:from>
    <xdr:to>
      <xdr:col>12</xdr:col>
      <xdr:colOff>323850</xdr:colOff>
      <xdr:row>90</xdr:row>
      <xdr:rowOff>38100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50F9B09-96F7-4650-B7B3-C924F436874D}"/>
            </a:ext>
            <a:ext uri="{147F2762-F138-4A5C-976F-8EAC2B608ADB}">
              <a16:predDERef xmlns:a16="http://schemas.microsoft.com/office/drawing/2014/main" pred="{CCA5DC67-6142-4583-8E10-09DE28E3CACF}"/>
            </a:ext>
          </a:extLst>
        </xdr:cNvPr>
        <xdr:cNvSpPr txBox="1"/>
      </xdr:nvSpPr>
      <xdr:spPr>
        <a:xfrm>
          <a:off x="8105775" y="16754475"/>
          <a:ext cx="3133725" cy="43815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bg1"/>
              </a:solidFill>
              <a:latin typeface="+mn-lt"/>
              <a:ea typeface="+mn-lt"/>
              <a:cs typeface="+mn-lt"/>
            </a:rPr>
            <a:t>Third Party</a:t>
          </a:r>
        </a:p>
      </xdr:txBody>
    </xdr:sp>
    <xdr:clientData/>
  </xdr:twoCellAnchor>
  <xdr:twoCellAnchor>
    <xdr:from>
      <xdr:col>12</xdr:col>
      <xdr:colOff>333375</xdr:colOff>
      <xdr:row>87</xdr:row>
      <xdr:rowOff>180975</xdr:rowOff>
    </xdr:from>
    <xdr:to>
      <xdr:col>16</xdr:col>
      <xdr:colOff>200025</xdr:colOff>
      <xdr:row>90</xdr:row>
      <xdr:rowOff>47625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4C6CD11-D82B-4321-AC4F-23BEB05D8C19}"/>
            </a:ext>
            <a:ext uri="{147F2762-F138-4A5C-976F-8EAC2B608ADB}">
              <a16:predDERef xmlns:a16="http://schemas.microsoft.com/office/drawing/2014/main" pred="{950F9B09-96F7-4650-B7B3-C924F436874D}"/>
            </a:ext>
          </a:extLst>
        </xdr:cNvPr>
        <xdr:cNvSpPr txBox="1"/>
      </xdr:nvSpPr>
      <xdr:spPr>
        <a:xfrm>
          <a:off x="11249025" y="16764000"/>
          <a:ext cx="2305050" cy="43815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other</a:t>
          </a:r>
        </a:p>
      </xdr:txBody>
    </xdr:sp>
    <xdr:clientData/>
  </xdr:twoCellAnchor>
  <xdr:twoCellAnchor editAs="oneCell">
    <xdr:from>
      <xdr:col>0</xdr:col>
      <xdr:colOff>38100</xdr:colOff>
      <xdr:row>126</xdr:row>
      <xdr:rowOff>133350</xdr:rowOff>
    </xdr:from>
    <xdr:to>
      <xdr:col>1</xdr:col>
      <xdr:colOff>1019175</xdr:colOff>
      <xdr:row>133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Countries">
              <a:extLst>
                <a:ext uri="{FF2B5EF4-FFF2-40B4-BE49-F238E27FC236}">
                  <a16:creationId xmlns:a16="http://schemas.microsoft.com/office/drawing/2014/main" id="{8600D7B3-0D8F-8AA9-C390-A53ACEDDE43C}"/>
                </a:ext>
                <a:ext uri="{147F2762-F138-4A5C-976F-8EAC2B608ADB}">
                  <a16:predDERef xmlns:a16="http://schemas.microsoft.com/office/drawing/2014/main" pred="{74C6CD11-D82B-4321-AC4F-23BEB05D8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i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4145875"/>
              <a:ext cx="176212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120</xdr:row>
      <xdr:rowOff>9525</xdr:rowOff>
    </xdr:from>
    <xdr:to>
      <xdr:col>1</xdr:col>
      <xdr:colOff>1028700</xdr:colOff>
      <xdr:row>126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Industry Sector">
              <a:extLst>
                <a:ext uri="{FF2B5EF4-FFF2-40B4-BE49-F238E27FC236}">
                  <a16:creationId xmlns:a16="http://schemas.microsoft.com/office/drawing/2014/main" id="{54E4DAF0-02A4-CC13-5C5C-295A2FD1EB38}"/>
                </a:ext>
                <a:ext uri="{147F2762-F138-4A5C-976F-8EAC2B608ADB}">
                  <a16:predDERef xmlns:a16="http://schemas.microsoft.com/office/drawing/2014/main" pred="{8600D7B3-0D8F-8AA9-C390-A53ACEDDE4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stry Sec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2879050"/>
              <a:ext cx="177165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113</xdr:row>
      <xdr:rowOff>180975</xdr:rowOff>
    </xdr:from>
    <xdr:to>
      <xdr:col>1</xdr:col>
      <xdr:colOff>1038225</xdr:colOff>
      <xdr:row>120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Employee or Third Party">
              <a:extLst>
                <a:ext uri="{FF2B5EF4-FFF2-40B4-BE49-F238E27FC236}">
                  <a16:creationId xmlns:a16="http://schemas.microsoft.com/office/drawing/2014/main" id="{9189104E-4FC5-96BA-FD30-7B92B5D99B50}"/>
                </a:ext>
                <a:ext uri="{147F2762-F138-4A5C-976F-8EAC2B608ADB}">
                  <a16:predDERef xmlns:a16="http://schemas.microsoft.com/office/drawing/2014/main" pred="{54E4DAF0-02A4-CC13-5C5C-295A2FD1EB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ee or Third Par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1717000"/>
              <a:ext cx="1781175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90</xdr:row>
      <xdr:rowOff>171450</xdr:rowOff>
    </xdr:from>
    <xdr:to>
      <xdr:col>1</xdr:col>
      <xdr:colOff>1028700</xdr:colOff>
      <xdr:row>95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year">
              <a:extLst>
                <a:ext uri="{FF2B5EF4-FFF2-40B4-BE49-F238E27FC236}">
                  <a16:creationId xmlns:a16="http://schemas.microsoft.com/office/drawing/2014/main" id="{7CC11D0B-341B-141D-7E3C-1A81703CB93C}"/>
                </a:ext>
                <a:ext uri="{147F2762-F138-4A5C-976F-8EAC2B608ADB}">
                  <a16:predDERef xmlns:a16="http://schemas.microsoft.com/office/drawing/2014/main" pred="{9189104E-4FC5-96BA-FD30-7B92B5D99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7325975"/>
              <a:ext cx="1762125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895350</xdr:colOff>
      <xdr:row>83</xdr:row>
      <xdr:rowOff>0</xdr:rowOff>
    </xdr:from>
    <xdr:to>
      <xdr:col>16</xdr:col>
      <xdr:colOff>447675</xdr:colOff>
      <xdr:row>85</xdr:row>
      <xdr:rowOff>57150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2058D6-0844-E021-2215-442968F62FAB}"/>
            </a:ext>
            <a:ext uri="{147F2762-F138-4A5C-976F-8EAC2B608ADB}">
              <a16:predDERef xmlns:a16="http://schemas.microsoft.com/office/drawing/2014/main" pred="{7CC11D0B-341B-141D-7E3C-1A81703CB93C}"/>
            </a:ext>
          </a:extLst>
        </xdr:cNvPr>
        <xdr:cNvSpPr txBox="1"/>
      </xdr:nvSpPr>
      <xdr:spPr>
        <a:xfrm>
          <a:off x="1676400" y="15821025"/>
          <a:ext cx="12125325" cy="43815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Workplace Risk &amp; Accident Insights Dashboard</a:t>
          </a:r>
        </a:p>
      </xdr:txBody>
    </xdr:sp>
    <xdr:clientData/>
  </xdr:twoCellAnchor>
  <xdr:twoCellAnchor editAs="oneCell">
    <xdr:from>
      <xdr:col>0</xdr:col>
      <xdr:colOff>19050</xdr:colOff>
      <xdr:row>82</xdr:row>
      <xdr:rowOff>19050</xdr:rowOff>
    </xdr:from>
    <xdr:to>
      <xdr:col>1</xdr:col>
      <xdr:colOff>685800</xdr:colOff>
      <xdr:row>89</xdr:row>
      <xdr:rowOff>171450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016BD0D-00DF-9F4E-B6B3-CF908AD1CB93}"/>
            </a:ext>
            <a:ext uri="{147F2762-F138-4A5C-976F-8EAC2B608ADB}">
              <a16:predDERef xmlns:a16="http://schemas.microsoft.com/office/drawing/2014/main" pred="{482058D6-0844-E021-2215-442968F62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5649575"/>
          <a:ext cx="1447800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95</xdr:row>
      <xdr:rowOff>104775</xdr:rowOff>
    </xdr:from>
    <xdr:to>
      <xdr:col>1</xdr:col>
      <xdr:colOff>1038225</xdr:colOff>
      <xdr:row>113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onth">
              <a:extLst>
                <a:ext uri="{FF2B5EF4-FFF2-40B4-BE49-F238E27FC236}">
                  <a16:creationId xmlns:a16="http://schemas.microsoft.com/office/drawing/2014/main" id="{48116FED-FF24-7EC5-E786-24984212E1EE}"/>
                </a:ext>
                <a:ext uri="{147F2762-F138-4A5C-976F-8EAC2B608ADB}">
                  <a16:predDERef xmlns:a16="http://schemas.microsoft.com/office/drawing/2014/main" pred="{2016BD0D-00DF-9F4E-B6B3-CF908AD1CB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8211800"/>
              <a:ext cx="1771650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133</xdr:row>
      <xdr:rowOff>123825</xdr:rowOff>
    </xdr:from>
    <xdr:to>
      <xdr:col>1</xdr:col>
      <xdr:colOff>1019175</xdr:colOff>
      <xdr:row>151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Critical Risk">
              <a:extLst>
                <a:ext uri="{FF2B5EF4-FFF2-40B4-BE49-F238E27FC236}">
                  <a16:creationId xmlns:a16="http://schemas.microsoft.com/office/drawing/2014/main" id="{20CD1760-79A0-988C-522B-3819F175A4C6}"/>
                </a:ext>
                <a:ext uri="{147F2762-F138-4A5C-976F-8EAC2B608ADB}">
                  <a16:predDERef xmlns:a16="http://schemas.microsoft.com/office/drawing/2014/main" pred="{48116FED-FF24-7EC5-E786-24984212E1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al Ris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469850"/>
              <a:ext cx="1762125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123825</xdr:colOff>
      <xdr:row>152</xdr:row>
      <xdr:rowOff>19050</xdr:rowOff>
    </xdr:from>
    <xdr:to>
      <xdr:col>6</xdr:col>
      <xdr:colOff>1828800</xdr:colOff>
      <xdr:row>170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ABBA11-A2BE-4A5D-B712-AE7742F13A34}"/>
            </a:ext>
            <a:ext uri="{147F2762-F138-4A5C-976F-8EAC2B608ADB}">
              <a16:predDERef xmlns:a16="http://schemas.microsoft.com/office/drawing/2014/main" pred="{20CD1760-79A0-988C-522B-3819F175A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994671296299" createdVersion="8" refreshedVersion="8" minRefreshableVersion="3" recordCount="416" xr:uid="{72017471-B25B-4C32-BBB3-4553B14C5327}">
  <cacheSource type="worksheet">
    <worksheetSource name="Table1"/>
  </cacheSource>
  <cacheFields count="11">
    <cacheField name="Data" numFmtId="164">
      <sharedItems containsSemiMixedTypes="0" containsNonDate="0" containsDate="1" containsString="0" minDate="2016-01-01T00:00:00" maxDate="2017-07-10T00:00:00"/>
    </cacheField>
    <cacheField name="Countries" numFmtId="0">
      <sharedItems count="3">
        <s v="Country_01"/>
        <s v="Country_02"/>
        <s v="Country_03"/>
      </sharedItems>
    </cacheField>
    <cacheField name="Local" numFmtId="0">
      <sharedItems/>
    </cacheField>
    <cacheField name="Industry Sector" numFmtId="0">
      <sharedItems count="3">
        <s v="Mining"/>
        <s v="Metals"/>
        <s v="Others"/>
      </sharedItems>
    </cacheField>
    <cacheField name="Accident Level" numFmtId="0">
      <sharedItems count="5">
        <s v="I"/>
        <s v="IV"/>
        <s v="III"/>
        <s v="II"/>
        <s v="V"/>
      </sharedItems>
    </cacheField>
    <cacheField name="Potential Accident Level" numFmtId="0">
      <sharedItems count="6">
        <s v="IV"/>
        <s v="III"/>
        <s v="I"/>
        <s v="II"/>
        <s v="V"/>
        <s v="VI"/>
      </sharedItems>
    </cacheField>
    <cacheField name="Genre" numFmtId="0">
      <sharedItems count="2">
        <s v="Male"/>
        <s v="Female"/>
      </sharedItems>
    </cacheField>
    <cacheField name="Employee or Third Party" numFmtId="0">
      <sharedItems count="3">
        <s v="Third Party"/>
        <s v="Employee"/>
        <s v="Third Party (Remote)"/>
      </sharedItems>
    </cacheField>
    <cacheField name="Critical Risk" numFmtId="0">
      <sharedItems count="34">
        <s v="Pressed"/>
        <s v="Pressurized Systems"/>
        <s v="Manual Tools"/>
        <s v="Others"/>
        <s v="Fall prevention (same level)"/>
        <s v="Chemical substances"/>
        <s v="Liquid Metal"/>
        <s v="Electrical installation"/>
        <s v="Confined space"/>
        <s v="Pressurized Systems / Chemical Substances"/>
        <s v="Blocking and isolation of energies"/>
        <s v="Suspended Loads"/>
        <s v="Poll"/>
        <s v="Cut"/>
        <s v="Fall"/>
        <s v="Bees"/>
        <s v="Fall prevention"/>
        <s v="_x000a_Not applicable"/>
        <s v="Not applicable"/>
        <s v="Traffic"/>
        <s v="Projection"/>
        <s v="Venomous Animals"/>
        <s v="Plates"/>
        <s v="Projection/Burning"/>
        <s v="remains of choco"/>
        <s v="Vehicles and Mobile Equipment"/>
        <s v="Projection/Choco"/>
        <s v="Machine Protection"/>
        <s v="Power lock"/>
        <s v="Burn"/>
        <s v="Projection/Manual Tools"/>
        <s v="Individual protection equipment"/>
        <s v="Electrical Shock"/>
        <s v="Projection of fragments"/>
      </sharedItems>
    </cacheField>
    <cacheField name="year" numFmtId="0">
      <sharedItems containsSemiMixedTypes="0" containsString="0" containsNumber="1" containsInteger="1" minValue="2016" maxValue="2017" count="2">
        <n v="2016"/>
        <n v="2017"/>
      </sharedItems>
    </cacheField>
    <cacheField name="month" numFmtId="0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</cacheFields>
  <extLst>
    <ext xmlns:x14="http://schemas.microsoft.com/office/spreadsheetml/2009/9/main" uri="{725AE2AE-9491-48be-B2B4-4EB974FC3084}">
      <x14:pivotCacheDefinition pivotCacheId="18891505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d v="2016-01-01T00:00:00"/>
    <x v="0"/>
    <s v="Local_01"/>
    <x v="0"/>
    <x v="0"/>
    <x v="0"/>
    <x v="0"/>
    <x v="0"/>
    <x v="0"/>
    <x v="0"/>
    <x v="0"/>
  </r>
  <r>
    <d v="2016-01-02T00:00:00"/>
    <x v="1"/>
    <s v="Local_02"/>
    <x v="0"/>
    <x v="0"/>
    <x v="0"/>
    <x v="0"/>
    <x v="1"/>
    <x v="1"/>
    <x v="0"/>
    <x v="0"/>
  </r>
  <r>
    <d v="2016-01-06T00:00:00"/>
    <x v="0"/>
    <s v="Local_03"/>
    <x v="0"/>
    <x v="0"/>
    <x v="1"/>
    <x v="0"/>
    <x v="2"/>
    <x v="2"/>
    <x v="0"/>
    <x v="0"/>
  </r>
  <r>
    <d v="2016-01-08T00:00:00"/>
    <x v="0"/>
    <s v="Local_04"/>
    <x v="0"/>
    <x v="0"/>
    <x v="2"/>
    <x v="0"/>
    <x v="0"/>
    <x v="3"/>
    <x v="0"/>
    <x v="0"/>
  </r>
  <r>
    <d v="2016-01-10T00:00:00"/>
    <x v="0"/>
    <s v="Local_04"/>
    <x v="0"/>
    <x v="1"/>
    <x v="0"/>
    <x v="0"/>
    <x v="0"/>
    <x v="3"/>
    <x v="0"/>
    <x v="0"/>
  </r>
  <r>
    <d v="2016-01-12T00:00:00"/>
    <x v="1"/>
    <s v="Local_05"/>
    <x v="1"/>
    <x v="0"/>
    <x v="1"/>
    <x v="0"/>
    <x v="2"/>
    <x v="1"/>
    <x v="0"/>
    <x v="0"/>
  </r>
  <r>
    <d v="2016-01-16T00:00:00"/>
    <x v="1"/>
    <s v="Local_05"/>
    <x v="1"/>
    <x v="0"/>
    <x v="1"/>
    <x v="0"/>
    <x v="1"/>
    <x v="4"/>
    <x v="0"/>
    <x v="0"/>
  </r>
  <r>
    <d v="2016-01-17T00:00:00"/>
    <x v="0"/>
    <s v="Local_04"/>
    <x v="0"/>
    <x v="0"/>
    <x v="1"/>
    <x v="0"/>
    <x v="0"/>
    <x v="0"/>
    <x v="0"/>
    <x v="0"/>
  </r>
  <r>
    <d v="2016-01-19T00:00:00"/>
    <x v="1"/>
    <s v="Local_02"/>
    <x v="0"/>
    <x v="0"/>
    <x v="0"/>
    <x v="0"/>
    <x v="2"/>
    <x v="3"/>
    <x v="0"/>
    <x v="0"/>
  </r>
  <r>
    <d v="2016-01-26T00:00:00"/>
    <x v="0"/>
    <s v="Local_06"/>
    <x v="1"/>
    <x v="0"/>
    <x v="3"/>
    <x v="0"/>
    <x v="0"/>
    <x v="5"/>
    <x v="0"/>
    <x v="0"/>
  </r>
  <r>
    <d v="2016-01-28T00:00:00"/>
    <x v="0"/>
    <s v="Local_03"/>
    <x v="0"/>
    <x v="0"/>
    <x v="1"/>
    <x v="0"/>
    <x v="1"/>
    <x v="3"/>
    <x v="0"/>
    <x v="0"/>
  </r>
  <r>
    <d v="2016-01-30T00:00:00"/>
    <x v="0"/>
    <s v="Local_03"/>
    <x v="0"/>
    <x v="0"/>
    <x v="0"/>
    <x v="0"/>
    <x v="0"/>
    <x v="3"/>
    <x v="0"/>
    <x v="0"/>
  </r>
  <r>
    <d v="2016-02-01T00:00:00"/>
    <x v="1"/>
    <s v="Local_05"/>
    <x v="1"/>
    <x v="0"/>
    <x v="2"/>
    <x v="0"/>
    <x v="1"/>
    <x v="6"/>
    <x v="0"/>
    <x v="1"/>
  </r>
  <r>
    <d v="2016-02-02T00:00:00"/>
    <x v="0"/>
    <s v="Local_01"/>
    <x v="0"/>
    <x v="1"/>
    <x v="4"/>
    <x v="0"/>
    <x v="0"/>
    <x v="7"/>
    <x v="0"/>
    <x v="1"/>
  </r>
  <r>
    <d v="2016-02-04T00:00:00"/>
    <x v="1"/>
    <s v="Local_05"/>
    <x v="1"/>
    <x v="0"/>
    <x v="1"/>
    <x v="0"/>
    <x v="1"/>
    <x v="8"/>
    <x v="0"/>
    <x v="1"/>
  </r>
  <r>
    <d v="2016-02-04T00:00:00"/>
    <x v="1"/>
    <s v="Local_05"/>
    <x v="1"/>
    <x v="0"/>
    <x v="0"/>
    <x v="0"/>
    <x v="1"/>
    <x v="6"/>
    <x v="0"/>
    <x v="1"/>
  </r>
  <r>
    <d v="2016-02-06T00:00:00"/>
    <x v="0"/>
    <s v="Local_04"/>
    <x v="0"/>
    <x v="2"/>
    <x v="0"/>
    <x v="0"/>
    <x v="0"/>
    <x v="3"/>
    <x v="0"/>
    <x v="1"/>
  </r>
  <r>
    <d v="2016-02-07T00:00:00"/>
    <x v="0"/>
    <s v="Local_06"/>
    <x v="1"/>
    <x v="0"/>
    <x v="3"/>
    <x v="1"/>
    <x v="0"/>
    <x v="3"/>
    <x v="0"/>
    <x v="1"/>
  </r>
  <r>
    <d v="2016-02-08T00:00:00"/>
    <x v="0"/>
    <s v="Local_06"/>
    <x v="1"/>
    <x v="0"/>
    <x v="3"/>
    <x v="0"/>
    <x v="1"/>
    <x v="3"/>
    <x v="0"/>
    <x v="1"/>
  </r>
  <r>
    <d v="2016-02-21T00:00:00"/>
    <x v="0"/>
    <s v="Local_06"/>
    <x v="1"/>
    <x v="0"/>
    <x v="1"/>
    <x v="0"/>
    <x v="1"/>
    <x v="3"/>
    <x v="0"/>
    <x v="1"/>
  </r>
  <r>
    <d v="2016-02-25T00:00:00"/>
    <x v="0"/>
    <s v="Local_06"/>
    <x v="1"/>
    <x v="0"/>
    <x v="3"/>
    <x v="0"/>
    <x v="0"/>
    <x v="3"/>
    <x v="0"/>
    <x v="1"/>
  </r>
  <r>
    <d v="2016-02-09T00:00:00"/>
    <x v="0"/>
    <s v="Local_03"/>
    <x v="0"/>
    <x v="0"/>
    <x v="0"/>
    <x v="0"/>
    <x v="0"/>
    <x v="3"/>
    <x v="0"/>
    <x v="1"/>
  </r>
  <r>
    <d v="2016-02-10T00:00:00"/>
    <x v="0"/>
    <s v="Local_03"/>
    <x v="0"/>
    <x v="3"/>
    <x v="0"/>
    <x v="0"/>
    <x v="0"/>
    <x v="3"/>
    <x v="0"/>
    <x v="1"/>
  </r>
  <r>
    <d v="2016-02-15T00:00:00"/>
    <x v="1"/>
    <s v="Local_02"/>
    <x v="0"/>
    <x v="3"/>
    <x v="3"/>
    <x v="0"/>
    <x v="2"/>
    <x v="3"/>
    <x v="0"/>
    <x v="1"/>
  </r>
  <r>
    <d v="2016-02-14T00:00:00"/>
    <x v="0"/>
    <s v="Local_06"/>
    <x v="1"/>
    <x v="0"/>
    <x v="3"/>
    <x v="0"/>
    <x v="0"/>
    <x v="3"/>
    <x v="0"/>
    <x v="1"/>
  </r>
  <r>
    <d v="2016-02-15T00:00:00"/>
    <x v="0"/>
    <s v="Local_06"/>
    <x v="1"/>
    <x v="0"/>
    <x v="3"/>
    <x v="0"/>
    <x v="1"/>
    <x v="2"/>
    <x v="0"/>
    <x v="1"/>
  </r>
  <r>
    <d v="2016-02-13T00:00:00"/>
    <x v="0"/>
    <s v="Local_01"/>
    <x v="0"/>
    <x v="0"/>
    <x v="2"/>
    <x v="0"/>
    <x v="1"/>
    <x v="3"/>
    <x v="0"/>
    <x v="1"/>
  </r>
  <r>
    <d v="2016-02-15T00:00:00"/>
    <x v="0"/>
    <s v="Local_03"/>
    <x v="0"/>
    <x v="0"/>
    <x v="1"/>
    <x v="0"/>
    <x v="0"/>
    <x v="3"/>
    <x v="0"/>
    <x v="1"/>
  </r>
  <r>
    <d v="2016-02-16T00:00:00"/>
    <x v="0"/>
    <s v="Local_01"/>
    <x v="0"/>
    <x v="0"/>
    <x v="0"/>
    <x v="0"/>
    <x v="1"/>
    <x v="3"/>
    <x v="0"/>
    <x v="1"/>
  </r>
  <r>
    <d v="2016-02-16T00:00:00"/>
    <x v="1"/>
    <s v="Local_07"/>
    <x v="0"/>
    <x v="3"/>
    <x v="1"/>
    <x v="0"/>
    <x v="1"/>
    <x v="3"/>
    <x v="0"/>
    <x v="1"/>
  </r>
  <r>
    <d v="2016-02-17T00:00:00"/>
    <x v="0"/>
    <s v="Local_03"/>
    <x v="0"/>
    <x v="0"/>
    <x v="3"/>
    <x v="0"/>
    <x v="1"/>
    <x v="3"/>
    <x v="0"/>
    <x v="1"/>
  </r>
  <r>
    <d v="2016-02-19T00:00:00"/>
    <x v="0"/>
    <s v="Local_03"/>
    <x v="0"/>
    <x v="0"/>
    <x v="3"/>
    <x v="0"/>
    <x v="1"/>
    <x v="3"/>
    <x v="0"/>
    <x v="1"/>
  </r>
  <r>
    <d v="2016-02-21T00:00:00"/>
    <x v="0"/>
    <s v="Local_01"/>
    <x v="0"/>
    <x v="2"/>
    <x v="0"/>
    <x v="0"/>
    <x v="0"/>
    <x v="3"/>
    <x v="0"/>
    <x v="1"/>
  </r>
  <r>
    <d v="2016-02-20T00:00:00"/>
    <x v="0"/>
    <s v="Local_04"/>
    <x v="0"/>
    <x v="4"/>
    <x v="4"/>
    <x v="0"/>
    <x v="0"/>
    <x v="3"/>
    <x v="0"/>
    <x v="1"/>
  </r>
  <r>
    <d v="2016-02-15T00:00:00"/>
    <x v="1"/>
    <s v="Local_05"/>
    <x v="1"/>
    <x v="0"/>
    <x v="3"/>
    <x v="0"/>
    <x v="1"/>
    <x v="3"/>
    <x v="0"/>
    <x v="1"/>
  </r>
  <r>
    <d v="2016-02-18T00:00:00"/>
    <x v="1"/>
    <s v="Local_05"/>
    <x v="1"/>
    <x v="0"/>
    <x v="1"/>
    <x v="0"/>
    <x v="2"/>
    <x v="0"/>
    <x v="0"/>
    <x v="1"/>
  </r>
  <r>
    <d v="2016-02-22T00:00:00"/>
    <x v="0"/>
    <s v="Local_01"/>
    <x v="0"/>
    <x v="0"/>
    <x v="0"/>
    <x v="0"/>
    <x v="0"/>
    <x v="3"/>
    <x v="0"/>
    <x v="1"/>
  </r>
  <r>
    <d v="2016-02-24T00:00:00"/>
    <x v="1"/>
    <s v="Local_07"/>
    <x v="0"/>
    <x v="0"/>
    <x v="4"/>
    <x v="0"/>
    <x v="1"/>
    <x v="3"/>
    <x v="0"/>
    <x v="1"/>
  </r>
  <r>
    <d v="2016-02-24T00:00:00"/>
    <x v="1"/>
    <s v="Local_07"/>
    <x v="0"/>
    <x v="0"/>
    <x v="4"/>
    <x v="1"/>
    <x v="0"/>
    <x v="3"/>
    <x v="0"/>
    <x v="1"/>
  </r>
  <r>
    <d v="2016-02-24T00:00:00"/>
    <x v="0"/>
    <s v="Local_01"/>
    <x v="0"/>
    <x v="0"/>
    <x v="0"/>
    <x v="0"/>
    <x v="1"/>
    <x v="3"/>
    <x v="0"/>
    <x v="1"/>
  </r>
  <r>
    <d v="2016-02-29T00:00:00"/>
    <x v="1"/>
    <s v="Local_02"/>
    <x v="0"/>
    <x v="3"/>
    <x v="0"/>
    <x v="0"/>
    <x v="1"/>
    <x v="3"/>
    <x v="0"/>
    <x v="1"/>
  </r>
  <r>
    <d v="2016-02-26T00:00:00"/>
    <x v="0"/>
    <s v="Local_06"/>
    <x v="1"/>
    <x v="0"/>
    <x v="0"/>
    <x v="0"/>
    <x v="2"/>
    <x v="9"/>
    <x v="0"/>
    <x v="1"/>
  </r>
  <r>
    <d v="2016-02-27T00:00:00"/>
    <x v="0"/>
    <s v="Local_01"/>
    <x v="0"/>
    <x v="0"/>
    <x v="1"/>
    <x v="0"/>
    <x v="0"/>
    <x v="3"/>
    <x v="0"/>
    <x v="1"/>
  </r>
  <r>
    <d v="2016-03-02T00:00:00"/>
    <x v="1"/>
    <s v="Local_08"/>
    <x v="1"/>
    <x v="0"/>
    <x v="1"/>
    <x v="0"/>
    <x v="1"/>
    <x v="0"/>
    <x v="0"/>
    <x v="2"/>
  </r>
  <r>
    <d v="2016-03-02T00:00:00"/>
    <x v="0"/>
    <s v="Local_06"/>
    <x v="1"/>
    <x v="0"/>
    <x v="1"/>
    <x v="0"/>
    <x v="1"/>
    <x v="10"/>
    <x v="0"/>
    <x v="2"/>
  </r>
  <r>
    <d v="2016-03-03T00:00:00"/>
    <x v="0"/>
    <s v="Local_03"/>
    <x v="0"/>
    <x v="0"/>
    <x v="1"/>
    <x v="0"/>
    <x v="0"/>
    <x v="3"/>
    <x v="0"/>
    <x v="2"/>
  </r>
  <r>
    <d v="2016-03-04T00:00:00"/>
    <x v="0"/>
    <s v="Local_06"/>
    <x v="1"/>
    <x v="0"/>
    <x v="1"/>
    <x v="0"/>
    <x v="1"/>
    <x v="2"/>
    <x v="0"/>
    <x v="2"/>
  </r>
  <r>
    <d v="2016-03-05T00:00:00"/>
    <x v="0"/>
    <s v="Local_03"/>
    <x v="0"/>
    <x v="0"/>
    <x v="0"/>
    <x v="0"/>
    <x v="1"/>
    <x v="3"/>
    <x v="0"/>
    <x v="2"/>
  </r>
  <r>
    <d v="2016-03-06T00:00:00"/>
    <x v="0"/>
    <s v="Local_04"/>
    <x v="0"/>
    <x v="0"/>
    <x v="1"/>
    <x v="0"/>
    <x v="1"/>
    <x v="3"/>
    <x v="0"/>
    <x v="2"/>
  </r>
  <r>
    <d v="2016-03-06T00:00:00"/>
    <x v="0"/>
    <s v="Local_03"/>
    <x v="0"/>
    <x v="2"/>
    <x v="0"/>
    <x v="0"/>
    <x v="2"/>
    <x v="3"/>
    <x v="0"/>
    <x v="2"/>
  </r>
  <r>
    <d v="2016-03-09T00:00:00"/>
    <x v="0"/>
    <s v="Local_06"/>
    <x v="1"/>
    <x v="0"/>
    <x v="0"/>
    <x v="0"/>
    <x v="0"/>
    <x v="11"/>
    <x v="0"/>
    <x v="2"/>
  </r>
  <r>
    <d v="2016-03-11T00:00:00"/>
    <x v="0"/>
    <s v="Local_03"/>
    <x v="0"/>
    <x v="2"/>
    <x v="4"/>
    <x v="0"/>
    <x v="0"/>
    <x v="3"/>
    <x v="0"/>
    <x v="2"/>
  </r>
  <r>
    <d v="2016-03-11T00:00:00"/>
    <x v="0"/>
    <s v="Local_03"/>
    <x v="0"/>
    <x v="0"/>
    <x v="4"/>
    <x v="0"/>
    <x v="0"/>
    <x v="3"/>
    <x v="0"/>
    <x v="2"/>
  </r>
  <r>
    <d v="2016-03-13T00:00:00"/>
    <x v="0"/>
    <s v="Local_03"/>
    <x v="0"/>
    <x v="0"/>
    <x v="0"/>
    <x v="0"/>
    <x v="2"/>
    <x v="3"/>
    <x v="0"/>
    <x v="2"/>
  </r>
  <r>
    <d v="2016-03-12T00:00:00"/>
    <x v="1"/>
    <s v="Local_07"/>
    <x v="0"/>
    <x v="2"/>
    <x v="0"/>
    <x v="0"/>
    <x v="1"/>
    <x v="3"/>
    <x v="0"/>
    <x v="2"/>
  </r>
  <r>
    <d v="2016-03-14T00:00:00"/>
    <x v="0"/>
    <s v="Local_06"/>
    <x v="1"/>
    <x v="3"/>
    <x v="1"/>
    <x v="0"/>
    <x v="2"/>
    <x v="5"/>
    <x v="0"/>
    <x v="2"/>
  </r>
  <r>
    <d v="2016-03-13T00:00:00"/>
    <x v="0"/>
    <s v="Local_03"/>
    <x v="0"/>
    <x v="0"/>
    <x v="1"/>
    <x v="0"/>
    <x v="1"/>
    <x v="3"/>
    <x v="0"/>
    <x v="2"/>
  </r>
  <r>
    <d v="2016-03-16T00:00:00"/>
    <x v="0"/>
    <s v="Local_04"/>
    <x v="0"/>
    <x v="0"/>
    <x v="3"/>
    <x v="0"/>
    <x v="0"/>
    <x v="3"/>
    <x v="0"/>
    <x v="2"/>
  </r>
  <r>
    <d v="2016-03-10T00:00:00"/>
    <x v="1"/>
    <s v="Local_05"/>
    <x v="1"/>
    <x v="0"/>
    <x v="3"/>
    <x v="0"/>
    <x v="1"/>
    <x v="0"/>
    <x v="0"/>
    <x v="2"/>
  </r>
  <r>
    <d v="2016-03-17T00:00:00"/>
    <x v="0"/>
    <s v="Local_01"/>
    <x v="0"/>
    <x v="0"/>
    <x v="3"/>
    <x v="0"/>
    <x v="0"/>
    <x v="3"/>
    <x v="0"/>
    <x v="2"/>
  </r>
  <r>
    <d v="2016-03-16T00:00:00"/>
    <x v="1"/>
    <s v="Local_08"/>
    <x v="1"/>
    <x v="3"/>
    <x v="3"/>
    <x v="0"/>
    <x v="1"/>
    <x v="2"/>
    <x v="0"/>
    <x v="2"/>
  </r>
  <r>
    <d v="2016-03-18T00:00:00"/>
    <x v="0"/>
    <s v="Local_04"/>
    <x v="0"/>
    <x v="1"/>
    <x v="0"/>
    <x v="0"/>
    <x v="0"/>
    <x v="3"/>
    <x v="0"/>
    <x v="2"/>
  </r>
  <r>
    <d v="2016-03-19T00:00:00"/>
    <x v="0"/>
    <s v="Local_01"/>
    <x v="0"/>
    <x v="0"/>
    <x v="1"/>
    <x v="0"/>
    <x v="1"/>
    <x v="3"/>
    <x v="0"/>
    <x v="2"/>
  </r>
  <r>
    <d v="2016-03-14T00:00:00"/>
    <x v="1"/>
    <s v="Local_05"/>
    <x v="1"/>
    <x v="0"/>
    <x v="0"/>
    <x v="0"/>
    <x v="1"/>
    <x v="5"/>
    <x v="0"/>
    <x v="2"/>
  </r>
  <r>
    <d v="2016-03-18T00:00:00"/>
    <x v="1"/>
    <s v="Local_05"/>
    <x v="1"/>
    <x v="0"/>
    <x v="0"/>
    <x v="0"/>
    <x v="1"/>
    <x v="4"/>
    <x v="0"/>
    <x v="2"/>
  </r>
  <r>
    <d v="2016-03-18T00:00:00"/>
    <x v="1"/>
    <s v="Local_05"/>
    <x v="1"/>
    <x v="0"/>
    <x v="0"/>
    <x v="0"/>
    <x v="1"/>
    <x v="5"/>
    <x v="0"/>
    <x v="2"/>
  </r>
  <r>
    <d v="2016-03-22T00:00:00"/>
    <x v="0"/>
    <s v="Local_03"/>
    <x v="0"/>
    <x v="0"/>
    <x v="3"/>
    <x v="0"/>
    <x v="1"/>
    <x v="3"/>
    <x v="0"/>
    <x v="2"/>
  </r>
  <r>
    <d v="2016-03-22T00:00:00"/>
    <x v="0"/>
    <s v="Local_01"/>
    <x v="0"/>
    <x v="1"/>
    <x v="0"/>
    <x v="0"/>
    <x v="0"/>
    <x v="3"/>
    <x v="0"/>
    <x v="2"/>
  </r>
  <r>
    <d v="2016-03-25T00:00:00"/>
    <x v="0"/>
    <s v="Local_01"/>
    <x v="0"/>
    <x v="0"/>
    <x v="0"/>
    <x v="0"/>
    <x v="0"/>
    <x v="3"/>
    <x v="0"/>
    <x v="2"/>
  </r>
  <r>
    <d v="2016-03-30T00:00:00"/>
    <x v="0"/>
    <s v="Local_04"/>
    <x v="0"/>
    <x v="3"/>
    <x v="0"/>
    <x v="0"/>
    <x v="0"/>
    <x v="3"/>
    <x v="0"/>
    <x v="2"/>
  </r>
  <r>
    <d v="2016-03-30T00:00:00"/>
    <x v="0"/>
    <s v="Local_03"/>
    <x v="0"/>
    <x v="0"/>
    <x v="1"/>
    <x v="0"/>
    <x v="1"/>
    <x v="3"/>
    <x v="0"/>
    <x v="2"/>
  </r>
  <r>
    <d v="2016-03-31T00:00:00"/>
    <x v="0"/>
    <s v="Local_06"/>
    <x v="1"/>
    <x v="0"/>
    <x v="1"/>
    <x v="0"/>
    <x v="1"/>
    <x v="3"/>
    <x v="0"/>
    <x v="2"/>
  </r>
  <r>
    <d v="2016-03-31T00:00:00"/>
    <x v="1"/>
    <s v="Local_08"/>
    <x v="1"/>
    <x v="0"/>
    <x v="1"/>
    <x v="0"/>
    <x v="2"/>
    <x v="0"/>
    <x v="0"/>
    <x v="2"/>
  </r>
  <r>
    <d v="2016-04-01T00:00:00"/>
    <x v="0"/>
    <s v="Local_03"/>
    <x v="0"/>
    <x v="0"/>
    <x v="1"/>
    <x v="0"/>
    <x v="0"/>
    <x v="3"/>
    <x v="0"/>
    <x v="3"/>
  </r>
  <r>
    <d v="2016-04-03T00:00:00"/>
    <x v="0"/>
    <s v="Local_01"/>
    <x v="0"/>
    <x v="2"/>
    <x v="4"/>
    <x v="0"/>
    <x v="0"/>
    <x v="3"/>
    <x v="0"/>
    <x v="3"/>
  </r>
  <r>
    <d v="2016-04-02T00:00:00"/>
    <x v="0"/>
    <s v="Local_01"/>
    <x v="0"/>
    <x v="0"/>
    <x v="1"/>
    <x v="0"/>
    <x v="1"/>
    <x v="3"/>
    <x v="0"/>
    <x v="3"/>
  </r>
  <r>
    <d v="2016-04-01T00:00:00"/>
    <x v="0"/>
    <s v="Local_01"/>
    <x v="0"/>
    <x v="0"/>
    <x v="4"/>
    <x v="0"/>
    <x v="2"/>
    <x v="3"/>
    <x v="0"/>
    <x v="3"/>
  </r>
  <r>
    <d v="2016-03-10T00:00:00"/>
    <x v="2"/>
    <s v="Local_10"/>
    <x v="2"/>
    <x v="3"/>
    <x v="3"/>
    <x v="0"/>
    <x v="0"/>
    <x v="3"/>
    <x v="0"/>
    <x v="2"/>
  </r>
  <r>
    <d v="2016-03-24T00:00:00"/>
    <x v="2"/>
    <s v="Local_10"/>
    <x v="2"/>
    <x v="1"/>
    <x v="0"/>
    <x v="0"/>
    <x v="0"/>
    <x v="12"/>
    <x v="0"/>
    <x v="2"/>
  </r>
  <r>
    <d v="2016-03-22T00:00:00"/>
    <x v="2"/>
    <s v="Local_10"/>
    <x v="2"/>
    <x v="0"/>
    <x v="2"/>
    <x v="0"/>
    <x v="0"/>
    <x v="3"/>
    <x v="0"/>
    <x v="2"/>
  </r>
  <r>
    <d v="2016-03-31T00:00:00"/>
    <x v="0"/>
    <s v="Local_03"/>
    <x v="0"/>
    <x v="0"/>
    <x v="3"/>
    <x v="0"/>
    <x v="0"/>
    <x v="3"/>
    <x v="0"/>
    <x v="2"/>
  </r>
  <r>
    <d v="2016-04-04T00:00:00"/>
    <x v="1"/>
    <s v="Local_09"/>
    <x v="1"/>
    <x v="2"/>
    <x v="0"/>
    <x v="0"/>
    <x v="1"/>
    <x v="2"/>
    <x v="0"/>
    <x v="3"/>
  </r>
  <r>
    <d v="2016-04-05T00:00:00"/>
    <x v="0"/>
    <s v="Local_06"/>
    <x v="1"/>
    <x v="0"/>
    <x v="1"/>
    <x v="0"/>
    <x v="0"/>
    <x v="4"/>
    <x v="0"/>
    <x v="3"/>
  </r>
  <r>
    <d v="2016-04-05T00:00:00"/>
    <x v="1"/>
    <s v="Local_05"/>
    <x v="1"/>
    <x v="0"/>
    <x v="1"/>
    <x v="0"/>
    <x v="0"/>
    <x v="0"/>
    <x v="0"/>
    <x v="3"/>
  </r>
  <r>
    <d v="2016-04-07T00:00:00"/>
    <x v="0"/>
    <s v="Local_03"/>
    <x v="0"/>
    <x v="0"/>
    <x v="3"/>
    <x v="0"/>
    <x v="0"/>
    <x v="3"/>
    <x v="0"/>
    <x v="3"/>
  </r>
  <r>
    <d v="2016-04-08T00:00:00"/>
    <x v="0"/>
    <s v="Local_03"/>
    <x v="0"/>
    <x v="0"/>
    <x v="0"/>
    <x v="0"/>
    <x v="1"/>
    <x v="3"/>
    <x v="0"/>
    <x v="3"/>
  </r>
  <r>
    <d v="2016-04-11T00:00:00"/>
    <x v="0"/>
    <s v="Local_01"/>
    <x v="0"/>
    <x v="0"/>
    <x v="0"/>
    <x v="0"/>
    <x v="0"/>
    <x v="3"/>
    <x v="0"/>
    <x v="3"/>
  </r>
  <r>
    <d v="2016-04-11T00:00:00"/>
    <x v="0"/>
    <s v="Local_01"/>
    <x v="0"/>
    <x v="0"/>
    <x v="0"/>
    <x v="0"/>
    <x v="1"/>
    <x v="3"/>
    <x v="0"/>
    <x v="3"/>
  </r>
  <r>
    <d v="2016-04-14T00:00:00"/>
    <x v="1"/>
    <s v="Local_08"/>
    <x v="1"/>
    <x v="0"/>
    <x v="1"/>
    <x v="0"/>
    <x v="1"/>
    <x v="1"/>
    <x v="0"/>
    <x v="3"/>
  </r>
  <r>
    <d v="2016-04-14T00:00:00"/>
    <x v="0"/>
    <s v="Local_04"/>
    <x v="0"/>
    <x v="0"/>
    <x v="3"/>
    <x v="0"/>
    <x v="0"/>
    <x v="3"/>
    <x v="0"/>
    <x v="3"/>
  </r>
  <r>
    <d v="2016-04-16T00:00:00"/>
    <x v="0"/>
    <s v="Local_04"/>
    <x v="0"/>
    <x v="0"/>
    <x v="1"/>
    <x v="0"/>
    <x v="0"/>
    <x v="3"/>
    <x v="0"/>
    <x v="3"/>
  </r>
  <r>
    <d v="2016-04-16T00:00:00"/>
    <x v="0"/>
    <s v="Local_03"/>
    <x v="0"/>
    <x v="0"/>
    <x v="1"/>
    <x v="0"/>
    <x v="0"/>
    <x v="3"/>
    <x v="0"/>
    <x v="3"/>
  </r>
  <r>
    <d v="2016-04-15T00:00:00"/>
    <x v="0"/>
    <s v="Local_03"/>
    <x v="0"/>
    <x v="0"/>
    <x v="3"/>
    <x v="0"/>
    <x v="1"/>
    <x v="3"/>
    <x v="0"/>
    <x v="3"/>
  </r>
  <r>
    <d v="2016-04-17T00:00:00"/>
    <x v="1"/>
    <s v="Local_05"/>
    <x v="1"/>
    <x v="0"/>
    <x v="0"/>
    <x v="0"/>
    <x v="1"/>
    <x v="13"/>
    <x v="0"/>
    <x v="3"/>
  </r>
  <r>
    <d v="2016-04-18T00:00:00"/>
    <x v="0"/>
    <s v="Local_03"/>
    <x v="0"/>
    <x v="0"/>
    <x v="1"/>
    <x v="0"/>
    <x v="0"/>
    <x v="3"/>
    <x v="0"/>
    <x v="3"/>
  </r>
  <r>
    <d v="2016-04-21T00:00:00"/>
    <x v="1"/>
    <s v="Local_02"/>
    <x v="0"/>
    <x v="0"/>
    <x v="4"/>
    <x v="0"/>
    <x v="1"/>
    <x v="3"/>
    <x v="0"/>
    <x v="3"/>
  </r>
  <r>
    <d v="2016-04-22T00:00:00"/>
    <x v="0"/>
    <s v="Local_01"/>
    <x v="0"/>
    <x v="0"/>
    <x v="3"/>
    <x v="0"/>
    <x v="0"/>
    <x v="3"/>
    <x v="0"/>
    <x v="3"/>
  </r>
  <r>
    <d v="2016-04-23T00:00:00"/>
    <x v="0"/>
    <s v="Local_04"/>
    <x v="0"/>
    <x v="0"/>
    <x v="1"/>
    <x v="0"/>
    <x v="1"/>
    <x v="3"/>
    <x v="0"/>
    <x v="3"/>
  </r>
  <r>
    <d v="2016-04-22T00:00:00"/>
    <x v="1"/>
    <s v="Local_05"/>
    <x v="1"/>
    <x v="3"/>
    <x v="0"/>
    <x v="0"/>
    <x v="0"/>
    <x v="9"/>
    <x v="0"/>
    <x v="3"/>
  </r>
  <r>
    <d v="2016-04-26T00:00:00"/>
    <x v="1"/>
    <s v="Local_05"/>
    <x v="1"/>
    <x v="0"/>
    <x v="3"/>
    <x v="1"/>
    <x v="0"/>
    <x v="13"/>
    <x v="0"/>
    <x v="3"/>
  </r>
  <r>
    <d v="2016-04-28T00:00:00"/>
    <x v="1"/>
    <s v="Local_05"/>
    <x v="1"/>
    <x v="0"/>
    <x v="1"/>
    <x v="0"/>
    <x v="2"/>
    <x v="5"/>
    <x v="0"/>
    <x v="3"/>
  </r>
  <r>
    <d v="2016-04-29T00:00:00"/>
    <x v="0"/>
    <s v="Local_04"/>
    <x v="0"/>
    <x v="2"/>
    <x v="0"/>
    <x v="0"/>
    <x v="0"/>
    <x v="3"/>
    <x v="0"/>
    <x v="3"/>
  </r>
  <r>
    <d v="2016-04-30T00:00:00"/>
    <x v="1"/>
    <s v="Local_05"/>
    <x v="1"/>
    <x v="0"/>
    <x v="0"/>
    <x v="0"/>
    <x v="1"/>
    <x v="0"/>
    <x v="0"/>
    <x v="3"/>
  </r>
  <r>
    <d v="2016-04-30T00:00:00"/>
    <x v="0"/>
    <s v="Local_01"/>
    <x v="0"/>
    <x v="0"/>
    <x v="3"/>
    <x v="0"/>
    <x v="1"/>
    <x v="3"/>
    <x v="0"/>
    <x v="3"/>
  </r>
  <r>
    <d v="2016-04-30T00:00:00"/>
    <x v="0"/>
    <s v="Local_03"/>
    <x v="0"/>
    <x v="1"/>
    <x v="0"/>
    <x v="0"/>
    <x v="0"/>
    <x v="3"/>
    <x v="0"/>
    <x v="3"/>
  </r>
  <r>
    <d v="2016-05-01T00:00:00"/>
    <x v="0"/>
    <s v="Local_04"/>
    <x v="0"/>
    <x v="0"/>
    <x v="0"/>
    <x v="0"/>
    <x v="0"/>
    <x v="3"/>
    <x v="0"/>
    <x v="4"/>
  </r>
  <r>
    <d v="2016-05-02T00:00:00"/>
    <x v="1"/>
    <s v="Local_05"/>
    <x v="1"/>
    <x v="0"/>
    <x v="0"/>
    <x v="1"/>
    <x v="2"/>
    <x v="5"/>
    <x v="0"/>
    <x v="4"/>
  </r>
  <r>
    <d v="2016-05-04T00:00:00"/>
    <x v="2"/>
    <s v="Local_10"/>
    <x v="2"/>
    <x v="0"/>
    <x v="2"/>
    <x v="0"/>
    <x v="0"/>
    <x v="2"/>
    <x v="0"/>
    <x v="4"/>
  </r>
  <r>
    <d v="2016-05-03T00:00:00"/>
    <x v="0"/>
    <s v="Local_04"/>
    <x v="0"/>
    <x v="3"/>
    <x v="0"/>
    <x v="0"/>
    <x v="0"/>
    <x v="3"/>
    <x v="0"/>
    <x v="4"/>
  </r>
  <r>
    <d v="2016-05-04T00:00:00"/>
    <x v="0"/>
    <s v="Local_04"/>
    <x v="0"/>
    <x v="0"/>
    <x v="1"/>
    <x v="0"/>
    <x v="1"/>
    <x v="3"/>
    <x v="0"/>
    <x v="4"/>
  </r>
  <r>
    <d v="2016-05-04T00:00:00"/>
    <x v="1"/>
    <s v="Local_05"/>
    <x v="1"/>
    <x v="0"/>
    <x v="1"/>
    <x v="1"/>
    <x v="2"/>
    <x v="5"/>
    <x v="0"/>
    <x v="4"/>
  </r>
  <r>
    <d v="2016-05-04T00:00:00"/>
    <x v="1"/>
    <s v="Local_05"/>
    <x v="1"/>
    <x v="0"/>
    <x v="1"/>
    <x v="0"/>
    <x v="2"/>
    <x v="5"/>
    <x v="0"/>
    <x v="4"/>
  </r>
  <r>
    <d v="2016-05-05T00:00:00"/>
    <x v="1"/>
    <s v="Local_05"/>
    <x v="1"/>
    <x v="0"/>
    <x v="1"/>
    <x v="0"/>
    <x v="0"/>
    <x v="2"/>
    <x v="0"/>
    <x v="4"/>
  </r>
  <r>
    <d v="2016-05-05T00:00:00"/>
    <x v="1"/>
    <s v="Local_08"/>
    <x v="1"/>
    <x v="0"/>
    <x v="3"/>
    <x v="0"/>
    <x v="2"/>
    <x v="2"/>
    <x v="0"/>
    <x v="4"/>
  </r>
  <r>
    <d v="2016-05-11T00:00:00"/>
    <x v="0"/>
    <s v="Local_03"/>
    <x v="0"/>
    <x v="0"/>
    <x v="1"/>
    <x v="0"/>
    <x v="0"/>
    <x v="3"/>
    <x v="0"/>
    <x v="4"/>
  </r>
  <r>
    <d v="2016-05-12T00:00:00"/>
    <x v="0"/>
    <s v="Local_06"/>
    <x v="1"/>
    <x v="0"/>
    <x v="3"/>
    <x v="0"/>
    <x v="2"/>
    <x v="5"/>
    <x v="0"/>
    <x v="4"/>
  </r>
  <r>
    <d v="2016-05-11T00:00:00"/>
    <x v="0"/>
    <s v="Local_01"/>
    <x v="0"/>
    <x v="0"/>
    <x v="0"/>
    <x v="0"/>
    <x v="0"/>
    <x v="3"/>
    <x v="0"/>
    <x v="4"/>
  </r>
  <r>
    <d v="2016-05-14T00:00:00"/>
    <x v="0"/>
    <s v="Local_01"/>
    <x v="0"/>
    <x v="0"/>
    <x v="0"/>
    <x v="0"/>
    <x v="0"/>
    <x v="3"/>
    <x v="0"/>
    <x v="4"/>
  </r>
  <r>
    <d v="2016-05-17T00:00:00"/>
    <x v="0"/>
    <s v="Local_11"/>
    <x v="2"/>
    <x v="0"/>
    <x v="3"/>
    <x v="0"/>
    <x v="1"/>
    <x v="3"/>
    <x v="0"/>
    <x v="4"/>
  </r>
  <r>
    <d v="2016-05-19T00:00:00"/>
    <x v="0"/>
    <s v="Local_03"/>
    <x v="0"/>
    <x v="0"/>
    <x v="0"/>
    <x v="0"/>
    <x v="2"/>
    <x v="3"/>
    <x v="0"/>
    <x v="4"/>
  </r>
  <r>
    <d v="2016-05-18T00:00:00"/>
    <x v="1"/>
    <s v="Local_05"/>
    <x v="1"/>
    <x v="0"/>
    <x v="1"/>
    <x v="0"/>
    <x v="1"/>
    <x v="3"/>
    <x v="0"/>
    <x v="4"/>
  </r>
  <r>
    <d v="2016-05-22T00:00:00"/>
    <x v="1"/>
    <s v="Local_08"/>
    <x v="1"/>
    <x v="0"/>
    <x v="1"/>
    <x v="0"/>
    <x v="1"/>
    <x v="10"/>
    <x v="0"/>
    <x v="4"/>
  </r>
  <r>
    <d v="2016-05-20T00:00:00"/>
    <x v="0"/>
    <s v="Local_06"/>
    <x v="1"/>
    <x v="0"/>
    <x v="2"/>
    <x v="0"/>
    <x v="0"/>
    <x v="4"/>
    <x v="0"/>
    <x v="4"/>
  </r>
  <r>
    <d v="2016-05-22T00:00:00"/>
    <x v="0"/>
    <s v="Local_03"/>
    <x v="0"/>
    <x v="0"/>
    <x v="0"/>
    <x v="0"/>
    <x v="0"/>
    <x v="3"/>
    <x v="0"/>
    <x v="4"/>
  </r>
  <r>
    <d v="2016-05-24T00:00:00"/>
    <x v="2"/>
    <s v="Local_10"/>
    <x v="2"/>
    <x v="1"/>
    <x v="0"/>
    <x v="0"/>
    <x v="0"/>
    <x v="14"/>
    <x v="0"/>
    <x v="4"/>
  </r>
  <r>
    <d v="2016-05-12T00:00:00"/>
    <x v="0"/>
    <s v="Local_04"/>
    <x v="0"/>
    <x v="0"/>
    <x v="1"/>
    <x v="0"/>
    <x v="1"/>
    <x v="3"/>
    <x v="0"/>
    <x v="4"/>
  </r>
  <r>
    <d v="2016-05-25T00:00:00"/>
    <x v="0"/>
    <s v="Local_04"/>
    <x v="0"/>
    <x v="3"/>
    <x v="1"/>
    <x v="0"/>
    <x v="1"/>
    <x v="3"/>
    <x v="0"/>
    <x v="4"/>
  </r>
  <r>
    <d v="2016-05-27T00:00:00"/>
    <x v="1"/>
    <s v="Local_02"/>
    <x v="0"/>
    <x v="0"/>
    <x v="4"/>
    <x v="0"/>
    <x v="1"/>
    <x v="3"/>
    <x v="0"/>
    <x v="4"/>
  </r>
  <r>
    <d v="2016-05-25T00:00:00"/>
    <x v="2"/>
    <s v="Local_10"/>
    <x v="2"/>
    <x v="0"/>
    <x v="2"/>
    <x v="0"/>
    <x v="0"/>
    <x v="15"/>
    <x v="0"/>
    <x v="4"/>
  </r>
  <r>
    <d v="2016-05-26T00:00:00"/>
    <x v="2"/>
    <s v="Local_10"/>
    <x v="2"/>
    <x v="0"/>
    <x v="2"/>
    <x v="0"/>
    <x v="0"/>
    <x v="15"/>
    <x v="0"/>
    <x v="4"/>
  </r>
  <r>
    <d v="2016-05-26T00:00:00"/>
    <x v="2"/>
    <s v="Local_10"/>
    <x v="2"/>
    <x v="0"/>
    <x v="2"/>
    <x v="0"/>
    <x v="1"/>
    <x v="3"/>
    <x v="0"/>
    <x v="4"/>
  </r>
  <r>
    <d v="2016-06-01T00:00:00"/>
    <x v="1"/>
    <s v="Local_05"/>
    <x v="1"/>
    <x v="0"/>
    <x v="1"/>
    <x v="0"/>
    <x v="1"/>
    <x v="13"/>
    <x v="0"/>
    <x v="5"/>
  </r>
  <r>
    <d v="2016-06-02T00:00:00"/>
    <x v="1"/>
    <s v="Local_05"/>
    <x v="1"/>
    <x v="0"/>
    <x v="1"/>
    <x v="0"/>
    <x v="1"/>
    <x v="13"/>
    <x v="0"/>
    <x v="5"/>
  </r>
  <r>
    <d v="2016-06-03T00:00:00"/>
    <x v="0"/>
    <s v="Local_01"/>
    <x v="0"/>
    <x v="0"/>
    <x v="3"/>
    <x v="0"/>
    <x v="0"/>
    <x v="3"/>
    <x v="0"/>
    <x v="5"/>
  </r>
  <r>
    <d v="2016-06-04T00:00:00"/>
    <x v="0"/>
    <s v="Local_04"/>
    <x v="0"/>
    <x v="4"/>
    <x v="4"/>
    <x v="0"/>
    <x v="0"/>
    <x v="3"/>
    <x v="0"/>
    <x v="5"/>
  </r>
  <r>
    <d v="2016-06-03T00:00:00"/>
    <x v="2"/>
    <s v="Local_10"/>
    <x v="2"/>
    <x v="3"/>
    <x v="3"/>
    <x v="0"/>
    <x v="0"/>
    <x v="3"/>
    <x v="0"/>
    <x v="5"/>
  </r>
  <r>
    <d v="2016-06-05T00:00:00"/>
    <x v="0"/>
    <s v="Local_03"/>
    <x v="0"/>
    <x v="0"/>
    <x v="1"/>
    <x v="0"/>
    <x v="1"/>
    <x v="3"/>
    <x v="0"/>
    <x v="5"/>
  </r>
  <r>
    <d v="2016-06-05T00:00:00"/>
    <x v="0"/>
    <s v="Local_06"/>
    <x v="1"/>
    <x v="0"/>
    <x v="2"/>
    <x v="0"/>
    <x v="1"/>
    <x v="16"/>
    <x v="0"/>
    <x v="5"/>
  </r>
  <r>
    <d v="2016-06-08T00:00:00"/>
    <x v="0"/>
    <s v="Local_04"/>
    <x v="0"/>
    <x v="0"/>
    <x v="1"/>
    <x v="0"/>
    <x v="0"/>
    <x v="3"/>
    <x v="0"/>
    <x v="5"/>
  </r>
  <r>
    <d v="2016-06-07T00:00:00"/>
    <x v="0"/>
    <s v="Local_01"/>
    <x v="0"/>
    <x v="0"/>
    <x v="2"/>
    <x v="0"/>
    <x v="1"/>
    <x v="3"/>
    <x v="0"/>
    <x v="5"/>
  </r>
  <r>
    <d v="2016-06-07T00:00:00"/>
    <x v="0"/>
    <s v="Local_03"/>
    <x v="0"/>
    <x v="0"/>
    <x v="1"/>
    <x v="0"/>
    <x v="0"/>
    <x v="3"/>
    <x v="0"/>
    <x v="5"/>
  </r>
  <r>
    <d v="2016-06-08T00:00:00"/>
    <x v="0"/>
    <s v="Local_06"/>
    <x v="1"/>
    <x v="1"/>
    <x v="0"/>
    <x v="0"/>
    <x v="1"/>
    <x v="4"/>
    <x v="0"/>
    <x v="5"/>
  </r>
  <r>
    <d v="2016-06-08T00:00:00"/>
    <x v="2"/>
    <s v="Local_10"/>
    <x v="2"/>
    <x v="0"/>
    <x v="2"/>
    <x v="0"/>
    <x v="0"/>
    <x v="15"/>
    <x v="0"/>
    <x v="5"/>
  </r>
  <r>
    <d v="2016-06-08T00:00:00"/>
    <x v="2"/>
    <s v="Local_10"/>
    <x v="2"/>
    <x v="0"/>
    <x v="2"/>
    <x v="0"/>
    <x v="0"/>
    <x v="3"/>
    <x v="0"/>
    <x v="5"/>
  </r>
  <r>
    <d v="2016-06-10T00:00:00"/>
    <x v="1"/>
    <s v="Local_05"/>
    <x v="1"/>
    <x v="0"/>
    <x v="1"/>
    <x v="0"/>
    <x v="2"/>
    <x v="2"/>
    <x v="0"/>
    <x v="5"/>
  </r>
  <r>
    <d v="2016-06-13T00:00:00"/>
    <x v="0"/>
    <s v="Local_01"/>
    <x v="0"/>
    <x v="0"/>
    <x v="0"/>
    <x v="0"/>
    <x v="1"/>
    <x v="3"/>
    <x v="0"/>
    <x v="5"/>
  </r>
  <r>
    <d v="2016-06-16T00:00:00"/>
    <x v="0"/>
    <s v="Local_03"/>
    <x v="0"/>
    <x v="0"/>
    <x v="0"/>
    <x v="0"/>
    <x v="0"/>
    <x v="3"/>
    <x v="0"/>
    <x v="5"/>
  </r>
  <r>
    <d v="2016-06-16T00:00:00"/>
    <x v="2"/>
    <s v="Local_10"/>
    <x v="2"/>
    <x v="0"/>
    <x v="2"/>
    <x v="0"/>
    <x v="0"/>
    <x v="15"/>
    <x v="0"/>
    <x v="5"/>
  </r>
  <r>
    <d v="2016-06-18T00:00:00"/>
    <x v="2"/>
    <s v="Local_10"/>
    <x v="2"/>
    <x v="0"/>
    <x v="2"/>
    <x v="0"/>
    <x v="1"/>
    <x v="15"/>
    <x v="0"/>
    <x v="5"/>
  </r>
  <r>
    <d v="2016-06-18T00:00:00"/>
    <x v="2"/>
    <s v="Local_10"/>
    <x v="2"/>
    <x v="0"/>
    <x v="2"/>
    <x v="0"/>
    <x v="0"/>
    <x v="15"/>
    <x v="0"/>
    <x v="5"/>
  </r>
  <r>
    <d v="2016-06-17T00:00:00"/>
    <x v="1"/>
    <s v="Local_08"/>
    <x v="1"/>
    <x v="1"/>
    <x v="4"/>
    <x v="0"/>
    <x v="1"/>
    <x v="17"/>
    <x v="0"/>
    <x v="5"/>
  </r>
  <r>
    <d v="2016-06-17T00:00:00"/>
    <x v="1"/>
    <s v="Local_08"/>
    <x v="1"/>
    <x v="1"/>
    <x v="4"/>
    <x v="0"/>
    <x v="1"/>
    <x v="18"/>
    <x v="0"/>
    <x v="5"/>
  </r>
  <r>
    <d v="2016-06-17T00:00:00"/>
    <x v="1"/>
    <s v="Local_08"/>
    <x v="1"/>
    <x v="4"/>
    <x v="4"/>
    <x v="0"/>
    <x v="1"/>
    <x v="18"/>
    <x v="0"/>
    <x v="5"/>
  </r>
  <r>
    <d v="2016-06-19T00:00:00"/>
    <x v="0"/>
    <s v="Local_03"/>
    <x v="0"/>
    <x v="1"/>
    <x v="0"/>
    <x v="0"/>
    <x v="0"/>
    <x v="3"/>
    <x v="0"/>
    <x v="5"/>
  </r>
  <r>
    <d v="2016-06-21T00:00:00"/>
    <x v="0"/>
    <s v="Local_01"/>
    <x v="0"/>
    <x v="0"/>
    <x v="1"/>
    <x v="0"/>
    <x v="0"/>
    <x v="3"/>
    <x v="0"/>
    <x v="5"/>
  </r>
  <r>
    <d v="2016-06-22T00:00:00"/>
    <x v="0"/>
    <s v="Local_03"/>
    <x v="0"/>
    <x v="0"/>
    <x v="1"/>
    <x v="0"/>
    <x v="2"/>
    <x v="3"/>
    <x v="0"/>
    <x v="5"/>
  </r>
  <r>
    <d v="2016-06-23T00:00:00"/>
    <x v="1"/>
    <s v="Local_08"/>
    <x v="1"/>
    <x v="0"/>
    <x v="3"/>
    <x v="0"/>
    <x v="1"/>
    <x v="2"/>
    <x v="0"/>
    <x v="5"/>
  </r>
  <r>
    <d v="2016-06-24T00:00:00"/>
    <x v="0"/>
    <s v="Local_01"/>
    <x v="0"/>
    <x v="0"/>
    <x v="1"/>
    <x v="0"/>
    <x v="0"/>
    <x v="3"/>
    <x v="0"/>
    <x v="5"/>
  </r>
  <r>
    <d v="2016-06-24T00:00:00"/>
    <x v="0"/>
    <s v="Local_01"/>
    <x v="0"/>
    <x v="0"/>
    <x v="0"/>
    <x v="0"/>
    <x v="0"/>
    <x v="3"/>
    <x v="0"/>
    <x v="5"/>
  </r>
  <r>
    <d v="2016-06-29T00:00:00"/>
    <x v="0"/>
    <s v="Local_01"/>
    <x v="0"/>
    <x v="0"/>
    <x v="0"/>
    <x v="0"/>
    <x v="1"/>
    <x v="3"/>
    <x v="0"/>
    <x v="5"/>
  </r>
  <r>
    <d v="2016-07-02T00:00:00"/>
    <x v="0"/>
    <s v="Local_03"/>
    <x v="0"/>
    <x v="4"/>
    <x v="4"/>
    <x v="0"/>
    <x v="0"/>
    <x v="3"/>
    <x v="0"/>
    <x v="6"/>
  </r>
  <r>
    <d v="2016-07-04T00:00:00"/>
    <x v="0"/>
    <s v="Local_06"/>
    <x v="1"/>
    <x v="2"/>
    <x v="0"/>
    <x v="0"/>
    <x v="0"/>
    <x v="0"/>
    <x v="0"/>
    <x v="6"/>
  </r>
  <r>
    <d v="2016-06-24T00:00:00"/>
    <x v="0"/>
    <s v="Local_03"/>
    <x v="0"/>
    <x v="0"/>
    <x v="3"/>
    <x v="0"/>
    <x v="0"/>
    <x v="3"/>
    <x v="0"/>
    <x v="5"/>
  </r>
  <r>
    <d v="2016-07-08T00:00:00"/>
    <x v="0"/>
    <s v="Local_01"/>
    <x v="0"/>
    <x v="0"/>
    <x v="3"/>
    <x v="0"/>
    <x v="1"/>
    <x v="3"/>
    <x v="0"/>
    <x v="6"/>
  </r>
  <r>
    <d v="2016-07-07T00:00:00"/>
    <x v="0"/>
    <s v="Local_03"/>
    <x v="0"/>
    <x v="1"/>
    <x v="4"/>
    <x v="0"/>
    <x v="0"/>
    <x v="3"/>
    <x v="0"/>
    <x v="6"/>
  </r>
  <r>
    <d v="2016-07-07T00:00:00"/>
    <x v="0"/>
    <s v="Local_03"/>
    <x v="0"/>
    <x v="0"/>
    <x v="0"/>
    <x v="0"/>
    <x v="0"/>
    <x v="3"/>
    <x v="0"/>
    <x v="6"/>
  </r>
  <r>
    <d v="2016-07-08T00:00:00"/>
    <x v="0"/>
    <s v="Local_06"/>
    <x v="1"/>
    <x v="2"/>
    <x v="0"/>
    <x v="0"/>
    <x v="0"/>
    <x v="2"/>
    <x v="0"/>
    <x v="6"/>
  </r>
  <r>
    <d v="2016-07-09T00:00:00"/>
    <x v="2"/>
    <s v="Local_10"/>
    <x v="2"/>
    <x v="2"/>
    <x v="0"/>
    <x v="0"/>
    <x v="0"/>
    <x v="3"/>
    <x v="0"/>
    <x v="6"/>
  </r>
  <r>
    <d v="2016-07-10T00:00:00"/>
    <x v="0"/>
    <s v="Local_04"/>
    <x v="0"/>
    <x v="1"/>
    <x v="0"/>
    <x v="0"/>
    <x v="0"/>
    <x v="3"/>
    <x v="0"/>
    <x v="6"/>
  </r>
  <r>
    <d v="2016-07-11T00:00:00"/>
    <x v="1"/>
    <s v="Local_05"/>
    <x v="1"/>
    <x v="2"/>
    <x v="0"/>
    <x v="0"/>
    <x v="2"/>
    <x v="11"/>
    <x v="0"/>
    <x v="6"/>
  </r>
  <r>
    <d v="2016-07-14T00:00:00"/>
    <x v="0"/>
    <s v="Local_03"/>
    <x v="0"/>
    <x v="0"/>
    <x v="3"/>
    <x v="0"/>
    <x v="1"/>
    <x v="3"/>
    <x v="0"/>
    <x v="6"/>
  </r>
  <r>
    <d v="2016-07-15T00:00:00"/>
    <x v="1"/>
    <s v="Local_05"/>
    <x v="1"/>
    <x v="0"/>
    <x v="3"/>
    <x v="1"/>
    <x v="1"/>
    <x v="5"/>
    <x v="0"/>
    <x v="6"/>
  </r>
  <r>
    <d v="2016-07-16T00:00:00"/>
    <x v="0"/>
    <s v="Local_03"/>
    <x v="0"/>
    <x v="0"/>
    <x v="0"/>
    <x v="0"/>
    <x v="0"/>
    <x v="3"/>
    <x v="0"/>
    <x v="6"/>
  </r>
  <r>
    <d v="2016-07-18T00:00:00"/>
    <x v="0"/>
    <s v="Local_06"/>
    <x v="1"/>
    <x v="0"/>
    <x v="1"/>
    <x v="0"/>
    <x v="0"/>
    <x v="4"/>
    <x v="0"/>
    <x v="6"/>
  </r>
  <r>
    <d v="2016-07-20T00:00:00"/>
    <x v="1"/>
    <s v="Local_05"/>
    <x v="1"/>
    <x v="0"/>
    <x v="1"/>
    <x v="0"/>
    <x v="1"/>
    <x v="5"/>
    <x v="0"/>
    <x v="6"/>
  </r>
  <r>
    <d v="2016-07-21T00:00:00"/>
    <x v="1"/>
    <s v="Local_12"/>
    <x v="2"/>
    <x v="0"/>
    <x v="3"/>
    <x v="1"/>
    <x v="1"/>
    <x v="19"/>
    <x v="0"/>
    <x v="6"/>
  </r>
  <r>
    <d v="2016-07-23T00:00:00"/>
    <x v="1"/>
    <s v="Local_08"/>
    <x v="1"/>
    <x v="0"/>
    <x v="3"/>
    <x v="0"/>
    <x v="2"/>
    <x v="1"/>
    <x v="0"/>
    <x v="6"/>
  </r>
  <r>
    <d v="2016-07-27T00:00:00"/>
    <x v="0"/>
    <s v="Local_03"/>
    <x v="0"/>
    <x v="3"/>
    <x v="0"/>
    <x v="0"/>
    <x v="1"/>
    <x v="3"/>
    <x v="0"/>
    <x v="6"/>
  </r>
  <r>
    <d v="2016-07-29T00:00:00"/>
    <x v="0"/>
    <s v="Local_03"/>
    <x v="0"/>
    <x v="0"/>
    <x v="0"/>
    <x v="0"/>
    <x v="1"/>
    <x v="3"/>
    <x v="0"/>
    <x v="6"/>
  </r>
  <r>
    <d v="2016-07-30T00:00:00"/>
    <x v="1"/>
    <s v="Local_07"/>
    <x v="0"/>
    <x v="0"/>
    <x v="3"/>
    <x v="0"/>
    <x v="1"/>
    <x v="3"/>
    <x v="0"/>
    <x v="6"/>
  </r>
  <r>
    <d v="2016-08-02T00:00:00"/>
    <x v="1"/>
    <s v="Local_02"/>
    <x v="0"/>
    <x v="0"/>
    <x v="1"/>
    <x v="0"/>
    <x v="2"/>
    <x v="3"/>
    <x v="0"/>
    <x v="7"/>
  </r>
  <r>
    <d v="2016-08-01T00:00:00"/>
    <x v="1"/>
    <s v="Local_05"/>
    <x v="1"/>
    <x v="3"/>
    <x v="1"/>
    <x v="1"/>
    <x v="0"/>
    <x v="2"/>
    <x v="0"/>
    <x v="7"/>
  </r>
  <r>
    <d v="2016-08-02T00:00:00"/>
    <x v="2"/>
    <s v="Local_10"/>
    <x v="2"/>
    <x v="0"/>
    <x v="2"/>
    <x v="0"/>
    <x v="0"/>
    <x v="15"/>
    <x v="0"/>
    <x v="7"/>
  </r>
  <r>
    <d v="2016-08-01T00:00:00"/>
    <x v="0"/>
    <s v="Local_04"/>
    <x v="0"/>
    <x v="3"/>
    <x v="1"/>
    <x v="0"/>
    <x v="0"/>
    <x v="3"/>
    <x v="0"/>
    <x v="7"/>
  </r>
  <r>
    <d v="2016-08-04T00:00:00"/>
    <x v="1"/>
    <s v="Local_08"/>
    <x v="1"/>
    <x v="0"/>
    <x v="3"/>
    <x v="0"/>
    <x v="1"/>
    <x v="13"/>
    <x v="0"/>
    <x v="7"/>
  </r>
  <r>
    <d v="2016-08-11T00:00:00"/>
    <x v="1"/>
    <s v="Local_02"/>
    <x v="0"/>
    <x v="1"/>
    <x v="0"/>
    <x v="0"/>
    <x v="2"/>
    <x v="3"/>
    <x v="0"/>
    <x v="7"/>
  </r>
  <r>
    <d v="2016-08-11T00:00:00"/>
    <x v="1"/>
    <s v="Local_12"/>
    <x v="2"/>
    <x v="0"/>
    <x v="0"/>
    <x v="1"/>
    <x v="1"/>
    <x v="3"/>
    <x v="0"/>
    <x v="7"/>
  </r>
  <r>
    <d v="2016-08-12T00:00:00"/>
    <x v="0"/>
    <s v="Local_03"/>
    <x v="0"/>
    <x v="2"/>
    <x v="0"/>
    <x v="0"/>
    <x v="1"/>
    <x v="3"/>
    <x v="0"/>
    <x v="7"/>
  </r>
  <r>
    <d v="2016-08-14T00:00:00"/>
    <x v="0"/>
    <s v="Local_01"/>
    <x v="0"/>
    <x v="2"/>
    <x v="0"/>
    <x v="0"/>
    <x v="0"/>
    <x v="3"/>
    <x v="0"/>
    <x v="7"/>
  </r>
  <r>
    <d v="2016-08-14T00:00:00"/>
    <x v="1"/>
    <s v="Local_08"/>
    <x v="1"/>
    <x v="0"/>
    <x v="1"/>
    <x v="0"/>
    <x v="1"/>
    <x v="20"/>
    <x v="0"/>
    <x v="7"/>
  </r>
  <r>
    <d v="2016-08-15T00:00:00"/>
    <x v="0"/>
    <s v="Local_01"/>
    <x v="0"/>
    <x v="0"/>
    <x v="0"/>
    <x v="0"/>
    <x v="0"/>
    <x v="3"/>
    <x v="0"/>
    <x v="7"/>
  </r>
  <r>
    <d v="2016-08-18T00:00:00"/>
    <x v="0"/>
    <s v="Local_03"/>
    <x v="0"/>
    <x v="0"/>
    <x v="1"/>
    <x v="0"/>
    <x v="1"/>
    <x v="3"/>
    <x v="0"/>
    <x v="7"/>
  </r>
  <r>
    <d v="2016-08-19T00:00:00"/>
    <x v="0"/>
    <s v="Local_03"/>
    <x v="0"/>
    <x v="0"/>
    <x v="1"/>
    <x v="0"/>
    <x v="1"/>
    <x v="3"/>
    <x v="0"/>
    <x v="7"/>
  </r>
  <r>
    <d v="2016-08-22T00:00:00"/>
    <x v="1"/>
    <s v="Local_05"/>
    <x v="1"/>
    <x v="0"/>
    <x v="1"/>
    <x v="0"/>
    <x v="1"/>
    <x v="0"/>
    <x v="0"/>
    <x v="7"/>
  </r>
  <r>
    <d v="2016-08-24T00:00:00"/>
    <x v="1"/>
    <s v="Local_05"/>
    <x v="1"/>
    <x v="0"/>
    <x v="3"/>
    <x v="0"/>
    <x v="1"/>
    <x v="13"/>
    <x v="0"/>
    <x v="7"/>
  </r>
  <r>
    <d v="2016-08-25T00:00:00"/>
    <x v="0"/>
    <s v="Local_03"/>
    <x v="0"/>
    <x v="0"/>
    <x v="0"/>
    <x v="0"/>
    <x v="1"/>
    <x v="3"/>
    <x v="0"/>
    <x v="7"/>
  </r>
  <r>
    <d v="2016-08-24T00:00:00"/>
    <x v="0"/>
    <s v="Local_01"/>
    <x v="0"/>
    <x v="0"/>
    <x v="3"/>
    <x v="0"/>
    <x v="1"/>
    <x v="3"/>
    <x v="0"/>
    <x v="7"/>
  </r>
  <r>
    <d v="2016-08-29T00:00:00"/>
    <x v="1"/>
    <s v="Local_05"/>
    <x v="1"/>
    <x v="0"/>
    <x v="3"/>
    <x v="0"/>
    <x v="1"/>
    <x v="5"/>
    <x v="0"/>
    <x v="7"/>
  </r>
  <r>
    <d v="2016-08-27T00:00:00"/>
    <x v="0"/>
    <s v="Local_06"/>
    <x v="1"/>
    <x v="0"/>
    <x v="3"/>
    <x v="0"/>
    <x v="1"/>
    <x v="9"/>
    <x v="0"/>
    <x v="7"/>
  </r>
  <r>
    <d v="2016-08-30T00:00:00"/>
    <x v="1"/>
    <s v="Local_08"/>
    <x v="1"/>
    <x v="3"/>
    <x v="3"/>
    <x v="1"/>
    <x v="2"/>
    <x v="3"/>
    <x v="0"/>
    <x v="7"/>
  </r>
  <r>
    <d v="2016-08-30T00:00:00"/>
    <x v="0"/>
    <s v="Local_06"/>
    <x v="1"/>
    <x v="0"/>
    <x v="3"/>
    <x v="0"/>
    <x v="0"/>
    <x v="3"/>
    <x v="0"/>
    <x v="7"/>
  </r>
  <r>
    <d v="2016-09-01T00:00:00"/>
    <x v="1"/>
    <s v="Local_05"/>
    <x v="1"/>
    <x v="3"/>
    <x v="0"/>
    <x v="0"/>
    <x v="2"/>
    <x v="2"/>
    <x v="0"/>
    <x v="8"/>
  </r>
  <r>
    <d v="2016-09-02T00:00:00"/>
    <x v="0"/>
    <s v="Local_03"/>
    <x v="0"/>
    <x v="0"/>
    <x v="2"/>
    <x v="0"/>
    <x v="0"/>
    <x v="3"/>
    <x v="0"/>
    <x v="8"/>
  </r>
  <r>
    <d v="2016-09-04T00:00:00"/>
    <x v="0"/>
    <s v="Local_03"/>
    <x v="0"/>
    <x v="0"/>
    <x v="1"/>
    <x v="0"/>
    <x v="0"/>
    <x v="3"/>
    <x v="0"/>
    <x v="8"/>
  </r>
  <r>
    <d v="2016-09-03T00:00:00"/>
    <x v="0"/>
    <s v="Local_04"/>
    <x v="0"/>
    <x v="2"/>
    <x v="0"/>
    <x v="0"/>
    <x v="1"/>
    <x v="3"/>
    <x v="0"/>
    <x v="8"/>
  </r>
  <r>
    <d v="2016-09-04T00:00:00"/>
    <x v="0"/>
    <s v="Local_06"/>
    <x v="1"/>
    <x v="1"/>
    <x v="0"/>
    <x v="0"/>
    <x v="1"/>
    <x v="11"/>
    <x v="0"/>
    <x v="8"/>
  </r>
  <r>
    <d v="2016-09-06T00:00:00"/>
    <x v="1"/>
    <s v="Local_02"/>
    <x v="0"/>
    <x v="0"/>
    <x v="3"/>
    <x v="0"/>
    <x v="1"/>
    <x v="3"/>
    <x v="0"/>
    <x v="8"/>
  </r>
  <r>
    <d v="2016-09-05T00:00:00"/>
    <x v="1"/>
    <s v="Local_05"/>
    <x v="1"/>
    <x v="0"/>
    <x v="3"/>
    <x v="1"/>
    <x v="1"/>
    <x v="21"/>
    <x v="0"/>
    <x v="8"/>
  </r>
  <r>
    <d v="2016-09-06T00:00:00"/>
    <x v="1"/>
    <s v="Local_07"/>
    <x v="0"/>
    <x v="0"/>
    <x v="3"/>
    <x v="0"/>
    <x v="1"/>
    <x v="3"/>
    <x v="0"/>
    <x v="8"/>
  </r>
  <r>
    <d v="2016-09-13T00:00:00"/>
    <x v="0"/>
    <s v="Local_03"/>
    <x v="0"/>
    <x v="0"/>
    <x v="0"/>
    <x v="0"/>
    <x v="0"/>
    <x v="3"/>
    <x v="0"/>
    <x v="8"/>
  </r>
  <r>
    <d v="2016-09-12T00:00:00"/>
    <x v="0"/>
    <s v="Local_11"/>
    <x v="2"/>
    <x v="2"/>
    <x v="0"/>
    <x v="1"/>
    <x v="1"/>
    <x v="3"/>
    <x v="0"/>
    <x v="8"/>
  </r>
  <r>
    <d v="2016-09-13T00:00:00"/>
    <x v="1"/>
    <s v="Local_05"/>
    <x v="1"/>
    <x v="0"/>
    <x v="3"/>
    <x v="0"/>
    <x v="1"/>
    <x v="11"/>
    <x v="0"/>
    <x v="8"/>
  </r>
  <r>
    <d v="2016-09-15T00:00:00"/>
    <x v="2"/>
    <s v="Local_10"/>
    <x v="2"/>
    <x v="0"/>
    <x v="2"/>
    <x v="0"/>
    <x v="0"/>
    <x v="3"/>
    <x v="0"/>
    <x v="8"/>
  </r>
  <r>
    <d v="2016-09-17T00:00:00"/>
    <x v="0"/>
    <s v="Local_06"/>
    <x v="1"/>
    <x v="0"/>
    <x v="3"/>
    <x v="0"/>
    <x v="0"/>
    <x v="0"/>
    <x v="0"/>
    <x v="8"/>
  </r>
  <r>
    <d v="2016-09-16T00:00:00"/>
    <x v="1"/>
    <s v="Local_05"/>
    <x v="1"/>
    <x v="3"/>
    <x v="0"/>
    <x v="0"/>
    <x v="1"/>
    <x v="1"/>
    <x v="0"/>
    <x v="8"/>
  </r>
  <r>
    <d v="2016-09-20T00:00:00"/>
    <x v="2"/>
    <s v="Local_10"/>
    <x v="2"/>
    <x v="0"/>
    <x v="2"/>
    <x v="0"/>
    <x v="0"/>
    <x v="14"/>
    <x v="0"/>
    <x v="8"/>
  </r>
  <r>
    <d v="2016-09-20T00:00:00"/>
    <x v="1"/>
    <s v="Local_05"/>
    <x v="1"/>
    <x v="0"/>
    <x v="3"/>
    <x v="0"/>
    <x v="2"/>
    <x v="10"/>
    <x v="0"/>
    <x v="8"/>
  </r>
  <r>
    <d v="2016-09-20T00:00:00"/>
    <x v="0"/>
    <s v="Local_06"/>
    <x v="1"/>
    <x v="0"/>
    <x v="3"/>
    <x v="0"/>
    <x v="0"/>
    <x v="3"/>
    <x v="0"/>
    <x v="8"/>
  </r>
  <r>
    <d v="2016-09-21T00:00:00"/>
    <x v="0"/>
    <s v="Local_03"/>
    <x v="0"/>
    <x v="0"/>
    <x v="1"/>
    <x v="0"/>
    <x v="0"/>
    <x v="3"/>
    <x v="0"/>
    <x v="8"/>
  </r>
  <r>
    <d v="2016-09-21T00:00:00"/>
    <x v="1"/>
    <s v="Local_05"/>
    <x v="1"/>
    <x v="3"/>
    <x v="1"/>
    <x v="0"/>
    <x v="0"/>
    <x v="2"/>
    <x v="0"/>
    <x v="8"/>
  </r>
  <r>
    <d v="2016-09-22T00:00:00"/>
    <x v="0"/>
    <s v="Local_01"/>
    <x v="0"/>
    <x v="0"/>
    <x v="0"/>
    <x v="0"/>
    <x v="1"/>
    <x v="3"/>
    <x v="0"/>
    <x v="8"/>
  </r>
  <r>
    <d v="2016-09-22T00:00:00"/>
    <x v="0"/>
    <s v="Local_06"/>
    <x v="1"/>
    <x v="0"/>
    <x v="1"/>
    <x v="0"/>
    <x v="1"/>
    <x v="3"/>
    <x v="0"/>
    <x v="8"/>
  </r>
  <r>
    <d v="2016-09-27T00:00:00"/>
    <x v="0"/>
    <s v="Local_06"/>
    <x v="1"/>
    <x v="0"/>
    <x v="3"/>
    <x v="1"/>
    <x v="0"/>
    <x v="1"/>
    <x v="0"/>
    <x v="8"/>
  </r>
  <r>
    <d v="2016-09-29T00:00:00"/>
    <x v="0"/>
    <s v="Local_04"/>
    <x v="0"/>
    <x v="0"/>
    <x v="3"/>
    <x v="0"/>
    <x v="0"/>
    <x v="3"/>
    <x v="0"/>
    <x v="8"/>
  </r>
  <r>
    <d v="2016-09-30T00:00:00"/>
    <x v="0"/>
    <s v="Local_04"/>
    <x v="0"/>
    <x v="0"/>
    <x v="2"/>
    <x v="0"/>
    <x v="1"/>
    <x v="3"/>
    <x v="0"/>
    <x v="8"/>
  </r>
  <r>
    <d v="2016-10-01T00:00:00"/>
    <x v="0"/>
    <s v="Local_04"/>
    <x v="0"/>
    <x v="3"/>
    <x v="1"/>
    <x v="0"/>
    <x v="0"/>
    <x v="3"/>
    <x v="0"/>
    <x v="9"/>
  </r>
  <r>
    <d v="2016-10-03T00:00:00"/>
    <x v="0"/>
    <s v="Local_04"/>
    <x v="0"/>
    <x v="0"/>
    <x v="3"/>
    <x v="0"/>
    <x v="0"/>
    <x v="3"/>
    <x v="0"/>
    <x v="9"/>
  </r>
  <r>
    <d v="2016-10-03T00:00:00"/>
    <x v="1"/>
    <s v="Local_05"/>
    <x v="1"/>
    <x v="0"/>
    <x v="1"/>
    <x v="0"/>
    <x v="1"/>
    <x v="0"/>
    <x v="0"/>
    <x v="9"/>
  </r>
  <r>
    <d v="2016-10-03T00:00:00"/>
    <x v="1"/>
    <s v="Local_08"/>
    <x v="1"/>
    <x v="0"/>
    <x v="3"/>
    <x v="0"/>
    <x v="1"/>
    <x v="0"/>
    <x v="0"/>
    <x v="9"/>
  </r>
  <r>
    <d v="2016-10-03T00:00:00"/>
    <x v="0"/>
    <s v="Local_03"/>
    <x v="0"/>
    <x v="0"/>
    <x v="0"/>
    <x v="0"/>
    <x v="0"/>
    <x v="3"/>
    <x v="0"/>
    <x v="9"/>
  </r>
  <r>
    <d v="2016-10-04T00:00:00"/>
    <x v="2"/>
    <s v="Local_10"/>
    <x v="2"/>
    <x v="2"/>
    <x v="1"/>
    <x v="0"/>
    <x v="1"/>
    <x v="3"/>
    <x v="0"/>
    <x v="9"/>
  </r>
  <r>
    <d v="2016-10-08T00:00:00"/>
    <x v="0"/>
    <s v="Local_04"/>
    <x v="0"/>
    <x v="3"/>
    <x v="3"/>
    <x v="0"/>
    <x v="0"/>
    <x v="3"/>
    <x v="0"/>
    <x v="9"/>
  </r>
  <r>
    <d v="2016-10-10T00:00:00"/>
    <x v="0"/>
    <s v="Local_03"/>
    <x v="0"/>
    <x v="0"/>
    <x v="0"/>
    <x v="0"/>
    <x v="2"/>
    <x v="3"/>
    <x v="0"/>
    <x v="9"/>
  </r>
  <r>
    <d v="2016-10-10T00:00:00"/>
    <x v="0"/>
    <s v="Local_04"/>
    <x v="0"/>
    <x v="2"/>
    <x v="0"/>
    <x v="0"/>
    <x v="1"/>
    <x v="3"/>
    <x v="0"/>
    <x v="9"/>
  </r>
  <r>
    <d v="2016-10-11T00:00:00"/>
    <x v="1"/>
    <s v="Local_05"/>
    <x v="1"/>
    <x v="0"/>
    <x v="1"/>
    <x v="0"/>
    <x v="1"/>
    <x v="5"/>
    <x v="0"/>
    <x v="9"/>
  </r>
  <r>
    <d v="2016-10-13T00:00:00"/>
    <x v="1"/>
    <s v="Local_02"/>
    <x v="0"/>
    <x v="3"/>
    <x v="3"/>
    <x v="0"/>
    <x v="2"/>
    <x v="3"/>
    <x v="0"/>
    <x v="9"/>
  </r>
  <r>
    <d v="2016-10-13T00:00:00"/>
    <x v="0"/>
    <s v="Local_03"/>
    <x v="0"/>
    <x v="2"/>
    <x v="0"/>
    <x v="0"/>
    <x v="1"/>
    <x v="3"/>
    <x v="0"/>
    <x v="9"/>
  </r>
  <r>
    <d v="2016-10-18T00:00:00"/>
    <x v="0"/>
    <s v="Local_03"/>
    <x v="0"/>
    <x v="1"/>
    <x v="0"/>
    <x v="0"/>
    <x v="0"/>
    <x v="3"/>
    <x v="0"/>
    <x v="9"/>
  </r>
  <r>
    <d v="2016-10-18T00:00:00"/>
    <x v="0"/>
    <s v="Local_03"/>
    <x v="0"/>
    <x v="0"/>
    <x v="0"/>
    <x v="0"/>
    <x v="0"/>
    <x v="3"/>
    <x v="0"/>
    <x v="9"/>
  </r>
  <r>
    <d v="2016-10-20T00:00:00"/>
    <x v="1"/>
    <s v="Local_05"/>
    <x v="1"/>
    <x v="0"/>
    <x v="1"/>
    <x v="0"/>
    <x v="1"/>
    <x v="1"/>
    <x v="0"/>
    <x v="9"/>
  </r>
  <r>
    <d v="2016-10-23T00:00:00"/>
    <x v="1"/>
    <s v="Local_02"/>
    <x v="0"/>
    <x v="3"/>
    <x v="0"/>
    <x v="0"/>
    <x v="1"/>
    <x v="3"/>
    <x v="0"/>
    <x v="9"/>
  </r>
  <r>
    <d v="2016-10-24T00:00:00"/>
    <x v="0"/>
    <s v="Local_01"/>
    <x v="0"/>
    <x v="0"/>
    <x v="0"/>
    <x v="0"/>
    <x v="0"/>
    <x v="3"/>
    <x v="0"/>
    <x v="9"/>
  </r>
  <r>
    <d v="2016-10-26T00:00:00"/>
    <x v="0"/>
    <s v="Local_01"/>
    <x v="0"/>
    <x v="2"/>
    <x v="0"/>
    <x v="0"/>
    <x v="1"/>
    <x v="3"/>
    <x v="0"/>
    <x v="9"/>
  </r>
  <r>
    <d v="2016-10-27T00:00:00"/>
    <x v="0"/>
    <s v="Local_03"/>
    <x v="0"/>
    <x v="0"/>
    <x v="0"/>
    <x v="0"/>
    <x v="1"/>
    <x v="3"/>
    <x v="0"/>
    <x v="9"/>
  </r>
  <r>
    <d v="2016-10-29T00:00:00"/>
    <x v="0"/>
    <s v="Local_03"/>
    <x v="0"/>
    <x v="0"/>
    <x v="0"/>
    <x v="0"/>
    <x v="1"/>
    <x v="3"/>
    <x v="0"/>
    <x v="9"/>
  </r>
  <r>
    <d v="2016-10-29T00:00:00"/>
    <x v="1"/>
    <s v="Local_08"/>
    <x v="1"/>
    <x v="1"/>
    <x v="0"/>
    <x v="0"/>
    <x v="1"/>
    <x v="0"/>
    <x v="0"/>
    <x v="9"/>
  </r>
  <r>
    <d v="2016-11-04T00:00:00"/>
    <x v="0"/>
    <s v="Local_03"/>
    <x v="0"/>
    <x v="1"/>
    <x v="4"/>
    <x v="0"/>
    <x v="1"/>
    <x v="3"/>
    <x v="0"/>
    <x v="10"/>
  </r>
  <r>
    <d v="2016-11-08T00:00:00"/>
    <x v="0"/>
    <s v="Local_04"/>
    <x v="0"/>
    <x v="0"/>
    <x v="0"/>
    <x v="0"/>
    <x v="1"/>
    <x v="3"/>
    <x v="0"/>
    <x v="10"/>
  </r>
  <r>
    <d v="2016-11-08T00:00:00"/>
    <x v="1"/>
    <s v="Local_08"/>
    <x v="1"/>
    <x v="0"/>
    <x v="3"/>
    <x v="0"/>
    <x v="1"/>
    <x v="3"/>
    <x v="0"/>
    <x v="10"/>
  </r>
  <r>
    <d v="2016-11-11T00:00:00"/>
    <x v="0"/>
    <s v="Local_06"/>
    <x v="1"/>
    <x v="1"/>
    <x v="0"/>
    <x v="0"/>
    <x v="1"/>
    <x v="3"/>
    <x v="0"/>
    <x v="10"/>
  </r>
  <r>
    <d v="2016-11-13T00:00:00"/>
    <x v="0"/>
    <s v="Local_06"/>
    <x v="1"/>
    <x v="0"/>
    <x v="3"/>
    <x v="0"/>
    <x v="1"/>
    <x v="22"/>
    <x v="0"/>
    <x v="10"/>
  </r>
  <r>
    <d v="2016-11-19T00:00:00"/>
    <x v="0"/>
    <s v="Local_04"/>
    <x v="0"/>
    <x v="2"/>
    <x v="0"/>
    <x v="0"/>
    <x v="0"/>
    <x v="3"/>
    <x v="0"/>
    <x v="10"/>
  </r>
  <r>
    <d v="2016-11-21T00:00:00"/>
    <x v="2"/>
    <s v="Local_10"/>
    <x v="2"/>
    <x v="0"/>
    <x v="2"/>
    <x v="0"/>
    <x v="0"/>
    <x v="3"/>
    <x v="0"/>
    <x v="10"/>
  </r>
  <r>
    <d v="2016-11-23T00:00:00"/>
    <x v="0"/>
    <s v="Local_06"/>
    <x v="1"/>
    <x v="0"/>
    <x v="0"/>
    <x v="0"/>
    <x v="1"/>
    <x v="3"/>
    <x v="0"/>
    <x v="10"/>
  </r>
  <r>
    <d v="2016-11-23T00:00:00"/>
    <x v="0"/>
    <s v="Local_04"/>
    <x v="0"/>
    <x v="0"/>
    <x v="3"/>
    <x v="0"/>
    <x v="1"/>
    <x v="3"/>
    <x v="0"/>
    <x v="10"/>
  </r>
  <r>
    <d v="2016-11-25T00:00:00"/>
    <x v="1"/>
    <s v="Local_07"/>
    <x v="0"/>
    <x v="0"/>
    <x v="3"/>
    <x v="0"/>
    <x v="1"/>
    <x v="3"/>
    <x v="0"/>
    <x v="10"/>
  </r>
  <r>
    <d v="2016-11-28T00:00:00"/>
    <x v="0"/>
    <s v="Local_03"/>
    <x v="0"/>
    <x v="0"/>
    <x v="2"/>
    <x v="0"/>
    <x v="0"/>
    <x v="3"/>
    <x v="0"/>
    <x v="10"/>
  </r>
  <r>
    <d v="2016-11-29T00:00:00"/>
    <x v="1"/>
    <s v="Local_08"/>
    <x v="1"/>
    <x v="3"/>
    <x v="1"/>
    <x v="0"/>
    <x v="1"/>
    <x v="3"/>
    <x v="0"/>
    <x v="10"/>
  </r>
  <r>
    <d v="2016-11-30T00:00:00"/>
    <x v="0"/>
    <s v="Local_03"/>
    <x v="0"/>
    <x v="0"/>
    <x v="3"/>
    <x v="0"/>
    <x v="0"/>
    <x v="3"/>
    <x v="0"/>
    <x v="10"/>
  </r>
  <r>
    <d v="2016-12-01T00:00:00"/>
    <x v="0"/>
    <s v="Local_03"/>
    <x v="0"/>
    <x v="0"/>
    <x v="0"/>
    <x v="0"/>
    <x v="1"/>
    <x v="3"/>
    <x v="0"/>
    <x v="11"/>
  </r>
  <r>
    <d v="2016-12-01T00:00:00"/>
    <x v="0"/>
    <s v="Local_03"/>
    <x v="0"/>
    <x v="0"/>
    <x v="0"/>
    <x v="0"/>
    <x v="0"/>
    <x v="3"/>
    <x v="0"/>
    <x v="11"/>
  </r>
  <r>
    <d v="2016-12-08T00:00:00"/>
    <x v="0"/>
    <s v="Local_01"/>
    <x v="0"/>
    <x v="0"/>
    <x v="0"/>
    <x v="0"/>
    <x v="1"/>
    <x v="11"/>
    <x v="0"/>
    <x v="11"/>
  </r>
  <r>
    <d v="2016-12-08T00:00:00"/>
    <x v="0"/>
    <s v="Local_01"/>
    <x v="0"/>
    <x v="0"/>
    <x v="1"/>
    <x v="0"/>
    <x v="2"/>
    <x v="3"/>
    <x v="0"/>
    <x v="11"/>
  </r>
  <r>
    <d v="2016-12-09T00:00:00"/>
    <x v="1"/>
    <s v="Local_02"/>
    <x v="0"/>
    <x v="3"/>
    <x v="1"/>
    <x v="0"/>
    <x v="2"/>
    <x v="3"/>
    <x v="0"/>
    <x v="11"/>
  </r>
  <r>
    <d v="2016-12-10T00:00:00"/>
    <x v="0"/>
    <s v="Local_04"/>
    <x v="0"/>
    <x v="0"/>
    <x v="3"/>
    <x v="0"/>
    <x v="0"/>
    <x v="3"/>
    <x v="0"/>
    <x v="11"/>
  </r>
  <r>
    <d v="2016-12-12T00:00:00"/>
    <x v="1"/>
    <s v="Local_08"/>
    <x v="1"/>
    <x v="0"/>
    <x v="3"/>
    <x v="0"/>
    <x v="1"/>
    <x v="3"/>
    <x v="0"/>
    <x v="11"/>
  </r>
  <r>
    <d v="2016-12-13T00:00:00"/>
    <x v="1"/>
    <s v="Local_02"/>
    <x v="0"/>
    <x v="0"/>
    <x v="3"/>
    <x v="0"/>
    <x v="2"/>
    <x v="3"/>
    <x v="0"/>
    <x v="11"/>
  </r>
  <r>
    <d v="2016-12-12T00:00:00"/>
    <x v="0"/>
    <s v="Local_04"/>
    <x v="0"/>
    <x v="2"/>
    <x v="1"/>
    <x v="0"/>
    <x v="1"/>
    <x v="3"/>
    <x v="0"/>
    <x v="11"/>
  </r>
  <r>
    <d v="2016-12-12T00:00:00"/>
    <x v="1"/>
    <s v="Local_05"/>
    <x v="1"/>
    <x v="0"/>
    <x v="3"/>
    <x v="0"/>
    <x v="2"/>
    <x v="3"/>
    <x v="0"/>
    <x v="11"/>
  </r>
  <r>
    <d v="2016-12-13T00:00:00"/>
    <x v="0"/>
    <s v="Local_06"/>
    <x v="1"/>
    <x v="0"/>
    <x v="3"/>
    <x v="0"/>
    <x v="0"/>
    <x v="3"/>
    <x v="0"/>
    <x v="11"/>
  </r>
  <r>
    <d v="2016-12-15T00:00:00"/>
    <x v="1"/>
    <s v="Local_05"/>
    <x v="1"/>
    <x v="0"/>
    <x v="1"/>
    <x v="0"/>
    <x v="1"/>
    <x v="3"/>
    <x v="0"/>
    <x v="11"/>
  </r>
  <r>
    <d v="2016-12-15T00:00:00"/>
    <x v="0"/>
    <s v="Local_03"/>
    <x v="0"/>
    <x v="2"/>
    <x v="0"/>
    <x v="0"/>
    <x v="0"/>
    <x v="3"/>
    <x v="0"/>
    <x v="11"/>
  </r>
  <r>
    <d v="2016-12-16T00:00:00"/>
    <x v="1"/>
    <s v="Local_08"/>
    <x v="1"/>
    <x v="0"/>
    <x v="3"/>
    <x v="1"/>
    <x v="0"/>
    <x v="3"/>
    <x v="0"/>
    <x v="11"/>
  </r>
  <r>
    <d v="2016-12-19T00:00:00"/>
    <x v="0"/>
    <s v="Local_04"/>
    <x v="0"/>
    <x v="0"/>
    <x v="1"/>
    <x v="0"/>
    <x v="1"/>
    <x v="3"/>
    <x v="0"/>
    <x v="11"/>
  </r>
  <r>
    <d v="2016-12-23T00:00:00"/>
    <x v="0"/>
    <s v="Local_04"/>
    <x v="0"/>
    <x v="3"/>
    <x v="0"/>
    <x v="0"/>
    <x v="0"/>
    <x v="3"/>
    <x v="0"/>
    <x v="11"/>
  </r>
  <r>
    <d v="2016-12-22T00:00:00"/>
    <x v="1"/>
    <s v="Local_05"/>
    <x v="1"/>
    <x v="0"/>
    <x v="3"/>
    <x v="0"/>
    <x v="0"/>
    <x v="3"/>
    <x v="0"/>
    <x v="11"/>
  </r>
  <r>
    <d v="2016-12-22T00:00:00"/>
    <x v="0"/>
    <s v="Local_01"/>
    <x v="0"/>
    <x v="0"/>
    <x v="0"/>
    <x v="0"/>
    <x v="0"/>
    <x v="3"/>
    <x v="0"/>
    <x v="11"/>
  </r>
  <r>
    <d v="2016-12-23T00:00:00"/>
    <x v="0"/>
    <s v="Local_03"/>
    <x v="0"/>
    <x v="0"/>
    <x v="1"/>
    <x v="0"/>
    <x v="0"/>
    <x v="3"/>
    <x v="0"/>
    <x v="11"/>
  </r>
  <r>
    <d v="2016-12-26T00:00:00"/>
    <x v="0"/>
    <s v="Local_06"/>
    <x v="1"/>
    <x v="0"/>
    <x v="3"/>
    <x v="0"/>
    <x v="1"/>
    <x v="3"/>
    <x v="0"/>
    <x v="11"/>
  </r>
  <r>
    <d v="2016-12-28T00:00:00"/>
    <x v="1"/>
    <s v="Local_05"/>
    <x v="1"/>
    <x v="0"/>
    <x v="0"/>
    <x v="0"/>
    <x v="1"/>
    <x v="3"/>
    <x v="0"/>
    <x v="11"/>
  </r>
  <r>
    <d v="2016-12-30T00:00:00"/>
    <x v="0"/>
    <s v="Local_04"/>
    <x v="0"/>
    <x v="1"/>
    <x v="4"/>
    <x v="0"/>
    <x v="0"/>
    <x v="3"/>
    <x v="0"/>
    <x v="11"/>
  </r>
  <r>
    <d v="2016-12-31T00:00:00"/>
    <x v="0"/>
    <s v="Local_04"/>
    <x v="0"/>
    <x v="2"/>
    <x v="0"/>
    <x v="0"/>
    <x v="0"/>
    <x v="3"/>
    <x v="0"/>
    <x v="11"/>
  </r>
  <r>
    <d v="2017-01-02T00:00:00"/>
    <x v="0"/>
    <s v="Local_06"/>
    <x v="1"/>
    <x v="0"/>
    <x v="3"/>
    <x v="0"/>
    <x v="2"/>
    <x v="0"/>
    <x v="1"/>
    <x v="0"/>
  </r>
  <r>
    <d v="2017-01-05T00:00:00"/>
    <x v="0"/>
    <s v="Local_01"/>
    <x v="0"/>
    <x v="0"/>
    <x v="0"/>
    <x v="0"/>
    <x v="0"/>
    <x v="20"/>
    <x v="1"/>
    <x v="0"/>
  </r>
  <r>
    <d v="2017-01-05T00:00:00"/>
    <x v="0"/>
    <s v="Local_03"/>
    <x v="0"/>
    <x v="0"/>
    <x v="1"/>
    <x v="0"/>
    <x v="1"/>
    <x v="3"/>
    <x v="1"/>
    <x v="0"/>
  </r>
  <r>
    <d v="2017-01-06T00:00:00"/>
    <x v="1"/>
    <s v="Local_08"/>
    <x v="1"/>
    <x v="0"/>
    <x v="2"/>
    <x v="0"/>
    <x v="1"/>
    <x v="0"/>
    <x v="1"/>
    <x v="0"/>
  </r>
  <r>
    <d v="2017-01-07T00:00:00"/>
    <x v="0"/>
    <s v="Local_04"/>
    <x v="0"/>
    <x v="0"/>
    <x v="0"/>
    <x v="0"/>
    <x v="1"/>
    <x v="3"/>
    <x v="1"/>
    <x v="0"/>
  </r>
  <r>
    <d v="2017-01-08T00:00:00"/>
    <x v="0"/>
    <s v="Local_06"/>
    <x v="1"/>
    <x v="2"/>
    <x v="1"/>
    <x v="0"/>
    <x v="1"/>
    <x v="13"/>
    <x v="1"/>
    <x v="0"/>
  </r>
  <r>
    <d v="2017-01-08T00:00:00"/>
    <x v="1"/>
    <s v="Local_05"/>
    <x v="1"/>
    <x v="3"/>
    <x v="0"/>
    <x v="0"/>
    <x v="1"/>
    <x v="23"/>
    <x v="1"/>
    <x v="0"/>
  </r>
  <r>
    <d v="2017-01-09T00:00:00"/>
    <x v="0"/>
    <s v="Local_01"/>
    <x v="0"/>
    <x v="0"/>
    <x v="1"/>
    <x v="0"/>
    <x v="0"/>
    <x v="3"/>
    <x v="1"/>
    <x v="0"/>
  </r>
  <r>
    <d v="2017-01-09T00:00:00"/>
    <x v="0"/>
    <s v="Local_03"/>
    <x v="0"/>
    <x v="0"/>
    <x v="1"/>
    <x v="0"/>
    <x v="1"/>
    <x v="3"/>
    <x v="1"/>
    <x v="0"/>
  </r>
  <r>
    <d v="2017-01-10T00:00:00"/>
    <x v="2"/>
    <s v="Local_10"/>
    <x v="2"/>
    <x v="0"/>
    <x v="0"/>
    <x v="0"/>
    <x v="0"/>
    <x v="16"/>
    <x v="1"/>
    <x v="0"/>
  </r>
  <r>
    <d v="2017-01-12T00:00:00"/>
    <x v="1"/>
    <s v="Local_08"/>
    <x v="1"/>
    <x v="0"/>
    <x v="3"/>
    <x v="0"/>
    <x v="2"/>
    <x v="2"/>
    <x v="1"/>
    <x v="0"/>
  </r>
  <r>
    <d v="2017-01-14T00:00:00"/>
    <x v="0"/>
    <s v="Local_03"/>
    <x v="0"/>
    <x v="0"/>
    <x v="0"/>
    <x v="0"/>
    <x v="0"/>
    <x v="20"/>
    <x v="1"/>
    <x v="0"/>
  </r>
  <r>
    <d v="2017-01-17T00:00:00"/>
    <x v="0"/>
    <s v="Local_03"/>
    <x v="0"/>
    <x v="0"/>
    <x v="1"/>
    <x v="0"/>
    <x v="1"/>
    <x v="24"/>
    <x v="1"/>
    <x v="0"/>
  </r>
  <r>
    <d v="2017-01-17T00:00:00"/>
    <x v="1"/>
    <s v="Local_08"/>
    <x v="1"/>
    <x v="0"/>
    <x v="0"/>
    <x v="0"/>
    <x v="1"/>
    <x v="6"/>
    <x v="1"/>
    <x v="0"/>
  </r>
  <r>
    <d v="2017-01-17T00:00:00"/>
    <x v="1"/>
    <s v="Local_08"/>
    <x v="1"/>
    <x v="2"/>
    <x v="0"/>
    <x v="0"/>
    <x v="1"/>
    <x v="3"/>
    <x v="1"/>
    <x v="0"/>
  </r>
  <r>
    <d v="2017-01-20T00:00:00"/>
    <x v="0"/>
    <s v="Local_06"/>
    <x v="1"/>
    <x v="1"/>
    <x v="0"/>
    <x v="0"/>
    <x v="2"/>
    <x v="16"/>
    <x v="1"/>
    <x v="0"/>
  </r>
  <r>
    <d v="2017-01-20T00:00:00"/>
    <x v="0"/>
    <s v="Local_04"/>
    <x v="0"/>
    <x v="0"/>
    <x v="1"/>
    <x v="0"/>
    <x v="0"/>
    <x v="2"/>
    <x v="1"/>
    <x v="0"/>
  </r>
  <r>
    <d v="2017-01-21T00:00:00"/>
    <x v="1"/>
    <s v="Local_02"/>
    <x v="0"/>
    <x v="0"/>
    <x v="2"/>
    <x v="0"/>
    <x v="2"/>
    <x v="3"/>
    <x v="1"/>
    <x v="0"/>
  </r>
  <r>
    <d v="2017-01-23T00:00:00"/>
    <x v="0"/>
    <s v="Local_04"/>
    <x v="0"/>
    <x v="0"/>
    <x v="0"/>
    <x v="0"/>
    <x v="0"/>
    <x v="24"/>
    <x v="1"/>
    <x v="0"/>
  </r>
  <r>
    <d v="2017-01-24T00:00:00"/>
    <x v="1"/>
    <s v="Local_05"/>
    <x v="1"/>
    <x v="0"/>
    <x v="1"/>
    <x v="0"/>
    <x v="2"/>
    <x v="14"/>
    <x v="1"/>
    <x v="0"/>
  </r>
  <r>
    <d v="2017-01-24T00:00:00"/>
    <x v="2"/>
    <s v="Local_10"/>
    <x v="2"/>
    <x v="0"/>
    <x v="2"/>
    <x v="0"/>
    <x v="0"/>
    <x v="21"/>
    <x v="1"/>
    <x v="0"/>
  </r>
  <r>
    <d v="2017-01-25T00:00:00"/>
    <x v="0"/>
    <s v="Local_03"/>
    <x v="0"/>
    <x v="4"/>
    <x v="5"/>
    <x v="0"/>
    <x v="0"/>
    <x v="24"/>
    <x v="1"/>
    <x v="0"/>
  </r>
  <r>
    <d v="2017-01-27T00:00:00"/>
    <x v="0"/>
    <s v="Local_04"/>
    <x v="0"/>
    <x v="3"/>
    <x v="1"/>
    <x v="0"/>
    <x v="0"/>
    <x v="3"/>
    <x v="1"/>
    <x v="0"/>
  </r>
  <r>
    <d v="2017-01-29T00:00:00"/>
    <x v="0"/>
    <s v="Local_01"/>
    <x v="0"/>
    <x v="0"/>
    <x v="1"/>
    <x v="0"/>
    <x v="0"/>
    <x v="25"/>
    <x v="1"/>
    <x v="0"/>
  </r>
  <r>
    <d v="2017-01-28T00:00:00"/>
    <x v="0"/>
    <s v="Local_01"/>
    <x v="0"/>
    <x v="0"/>
    <x v="1"/>
    <x v="0"/>
    <x v="1"/>
    <x v="25"/>
    <x v="1"/>
    <x v="0"/>
  </r>
  <r>
    <d v="2017-01-31T00:00:00"/>
    <x v="1"/>
    <s v="Local_08"/>
    <x v="1"/>
    <x v="0"/>
    <x v="1"/>
    <x v="0"/>
    <x v="1"/>
    <x v="3"/>
    <x v="1"/>
    <x v="0"/>
  </r>
  <r>
    <d v="2017-01-31T00:00:00"/>
    <x v="0"/>
    <s v="Local_01"/>
    <x v="0"/>
    <x v="0"/>
    <x v="0"/>
    <x v="0"/>
    <x v="1"/>
    <x v="25"/>
    <x v="1"/>
    <x v="0"/>
  </r>
  <r>
    <d v="2017-02-01T00:00:00"/>
    <x v="2"/>
    <s v="Local_10"/>
    <x v="2"/>
    <x v="0"/>
    <x v="3"/>
    <x v="0"/>
    <x v="0"/>
    <x v="26"/>
    <x v="1"/>
    <x v="1"/>
  </r>
  <r>
    <d v="2017-02-04T00:00:00"/>
    <x v="1"/>
    <s v="Local_02"/>
    <x v="0"/>
    <x v="0"/>
    <x v="1"/>
    <x v="0"/>
    <x v="1"/>
    <x v="2"/>
    <x v="1"/>
    <x v="1"/>
  </r>
  <r>
    <d v="2017-02-05T00:00:00"/>
    <x v="2"/>
    <s v="Local_10"/>
    <x v="2"/>
    <x v="0"/>
    <x v="3"/>
    <x v="0"/>
    <x v="1"/>
    <x v="3"/>
    <x v="1"/>
    <x v="1"/>
  </r>
  <r>
    <d v="2017-02-07T00:00:00"/>
    <x v="0"/>
    <s v="Local_04"/>
    <x v="0"/>
    <x v="0"/>
    <x v="3"/>
    <x v="0"/>
    <x v="0"/>
    <x v="3"/>
    <x v="1"/>
    <x v="1"/>
  </r>
  <r>
    <d v="2017-02-07T00:00:00"/>
    <x v="0"/>
    <s v="Local_03"/>
    <x v="0"/>
    <x v="3"/>
    <x v="4"/>
    <x v="0"/>
    <x v="1"/>
    <x v="24"/>
    <x v="1"/>
    <x v="1"/>
  </r>
  <r>
    <d v="2017-02-08T00:00:00"/>
    <x v="0"/>
    <s v="Local_03"/>
    <x v="0"/>
    <x v="3"/>
    <x v="0"/>
    <x v="0"/>
    <x v="0"/>
    <x v="13"/>
    <x v="1"/>
    <x v="1"/>
  </r>
  <r>
    <d v="2017-02-08T00:00:00"/>
    <x v="1"/>
    <s v="Local_08"/>
    <x v="1"/>
    <x v="0"/>
    <x v="3"/>
    <x v="1"/>
    <x v="0"/>
    <x v="3"/>
    <x v="1"/>
    <x v="1"/>
  </r>
  <r>
    <d v="2017-02-08T00:00:00"/>
    <x v="1"/>
    <s v="Local_08"/>
    <x v="1"/>
    <x v="0"/>
    <x v="2"/>
    <x v="0"/>
    <x v="2"/>
    <x v="0"/>
    <x v="1"/>
    <x v="1"/>
  </r>
  <r>
    <d v="2017-02-08T00:00:00"/>
    <x v="0"/>
    <s v="Local_04"/>
    <x v="0"/>
    <x v="3"/>
    <x v="1"/>
    <x v="0"/>
    <x v="0"/>
    <x v="13"/>
    <x v="1"/>
    <x v="1"/>
  </r>
  <r>
    <d v="2017-02-08T00:00:00"/>
    <x v="0"/>
    <s v="Local_06"/>
    <x v="1"/>
    <x v="0"/>
    <x v="1"/>
    <x v="0"/>
    <x v="1"/>
    <x v="27"/>
    <x v="1"/>
    <x v="1"/>
  </r>
  <r>
    <d v="2017-02-09T00:00:00"/>
    <x v="0"/>
    <s v="Local_03"/>
    <x v="0"/>
    <x v="1"/>
    <x v="4"/>
    <x v="0"/>
    <x v="2"/>
    <x v="28"/>
    <x v="1"/>
    <x v="1"/>
  </r>
  <r>
    <d v="2017-02-08T00:00:00"/>
    <x v="0"/>
    <s v="Local_06"/>
    <x v="1"/>
    <x v="0"/>
    <x v="2"/>
    <x v="0"/>
    <x v="2"/>
    <x v="2"/>
    <x v="1"/>
    <x v="1"/>
  </r>
  <r>
    <d v="2017-02-13T00:00:00"/>
    <x v="1"/>
    <s v="Local_08"/>
    <x v="1"/>
    <x v="3"/>
    <x v="1"/>
    <x v="0"/>
    <x v="1"/>
    <x v="0"/>
    <x v="1"/>
    <x v="1"/>
  </r>
  <r>
    <d v="2017-02-13T00:00:00"/>
    <x v="1"/>
    <s v="Local_05"/>
    <x v="1"/>
    <x v="0"/>
    <x v="0"/>
    <x v="0"/>
    <x v="1"/>
    <x v="20"/>
    <x v="1"/>
    <x v="1"/>
  </r>
  <r>
    <d v="2017-02-13T00:00:00"/>
    <x v="1"/>
    <s v="Local_05"/>
    <x v="1"/>
    <x v="2"/>
    <x v="0"/>
    <x v="0"/>
    <x v="1"/>
    <x v="29"/>
    <x v="1"/>
    <x v="1"/>
  </r>
  <r>
    <d v="2017-02-14T00:00:00"/>
    <x v="0"/>
    <s v="Local_03"/>
    <x v="0"/>
    <x v="1"/>
    <x v="4"/>
    <x v="0"/>
    <x v="0"/>
    <x v="0"/>
    <x v="1"/>
    <x v="1"/>
  </r>
  <r>
    <d v="2017-02-15T00:00:00"/>
    <x v="2"/>
    <s v="Local_10"/>
    <x v="2"/>
    <x v="0"/>
    <x v="2"/>
    <x v="0"/>
    <x v="0"/>
    <x v="21"/>
    <x v="1"/>
    <x v="1"/>
  </r>
  <r>
    <d v="2017-02-16T00:00:00"/>
    <x v="0"/>
    <s v="Local_03"/>
    <x v="0"/>
    <x v="0"/>
    <x v="3"/>
    <x v="1"/>
    <x v="2"/>
    <x v="14"/>
    <x v="1"/>
    <x v="1"/>
  </r>
  <r>
    <d v="2017-02-17T00:00:00"/>
    <x v="0"/>
    <s v="Local_04"/>
    <x v="0"/>
    <x v="0"/>
    <x v="1"/>
    <x v="0"/>
    <x v="0"/>
    <x v="30"/>
    <x v="1"/>
    <x v="1"/>
  </r>
  <r>
    <d v="2017-02-17T00:00:00"/>
    <x v="0"/>
    <s v="Local_01"/>
    <x v="0"/>
    <x v="0"/>
    <x v="1"/>
    <x v="0"/>
    <x v="1"/>
    <x v="5"/>
    <x v="1"/>
    <x v="1"/>
  </r>
  <r>
    <d v="2017-02-17T00:00:00"/>
    <x v="0"/>
    <s v="Local_01"/>
    <x v="0"/>
    <x v="0"/>
    <x v="0"/>
    <x v="0"/>
    <x v="0"/>
    <x v="20"/>
    <x v="1"/>
    <x v="1"/>
  </r>
  <r>
    <d v="2017-02-23T00:00:00"/>
    <x v="0"/>
    <s v="Local_04"/>
    <x v="0"/>
    <x v="1"/>
    <x v="0"/>
    <x v="0"/>
    <x v="0"/>
    <x v="25"/>
    <x v="1"/>
    <x v="1"/>
  </r>
  <r>
    <d v="2017-02-23T00:00:00"/>
    <x v="1"/>
    <s v="Local_07"/>
    <x v="0"/>
    <x v="0"/>
    <x v="1"/>
    <x v="0"/>
    <x v="2"/>
    <x v="21"/>
    <x v="1"/>
    <x v="1"/>
  </r>
  <r>
    <d v="2017-02-25T00:00:00"/>
    <x v="0"/>
    <s v="Local_01"/>
    <x v="0"/>
    <x v="1"/>
    <x v="0"/>
    <x v="0"/>
    <x v="2"/>
    <x v="14"/>
    <x v="1"/>
    <x v="1"/>
  </r>
  <r>
    <d v="2017-02-25T00:00:00"/>
    <x v="0"/>
    <s v="Local_01"/>
    <x v="0"/>
    <x v="0"/>
    <x v="1"/>
    <x v="0"/>
    <x v="1"/>
    <x v="20"/>
    <x v="1"/>
    <x v="1"/>
  </r>
  <r>
    <d v="2017-02-25T00:00:00"/>
    <x v="2"/>
    <s v="Local_10"/>
    <x v="2"/>
    <x v="0"/>
    <x v="2"/>
    <x v="0"/>
    <x v="0"/>
    <x v="21"/>
    <x v="1"/>
    <x v="1"/>
  </r>
  <r>
    <d v="2017-02-26T00:00:00"/>
    <x v="0"/>
    <s v="Local_01"/>
    <x v="0"/>
    <x v="0"/>
    <x v="1"/>
    <x v="0"/>
    <x v="0"/>
    <x v="14"/>
    <x v="1"/>
    <x v="1"/>
  </r>
  <r>
    <d v="2017-02-26T00:00:00"/>
    <x v="1"/>
    <s v="Local_07"/>
    <x v="0"/>
    <x v="0"/>
    <x v="0"/>
    <x v="0"/>
    <x v="1"/>
    <x v="16"/>
    <x v="1"/>
    <x v="1"/>
  </r>
  <r>
    <d v="2017-02-27T00:00:00"/>
    <x v="0"/>
    <s v="Local_03"/>
    <x v="0"/>
    <x v="3"/>
    <x v="0"/>
    <x v="0"/>
    <x v="0"/>
    <x v="24"/>
    <x v="1"/>
    <x v="1"/>
  </r>
  <r>
    <d v="2017-02-27T00:00:00"/>
    <x v="1"/>
    <s v="Local_02"/>
    <x v="0"/>
    <x v="2"/>
    <x v="0"/>
    <x v="0"/>
    <x v="1"/>
    <x v="3"/>
    <x v="1"/>
    <x v="1"/>
  </r>
  <r>
    <d v="2017-03-01T00:00:00"/>
    <x v="0"/>
    <s v="Local_06"/>
    <x v="1"/>
    <x v="0"/>
    <x v="2"/>
    <x v="0"/>
    <x v="2"/>
    <x v="3"/>
    <x v="1"/>
    <x v="2"/>
  </r>
  <r>
    <d v="2017-03-02T00:00:00"/>
    <x v="2"/>
    <s v="Local_10"/>
    <x v="2"/>
    <x v="0"/>
    <x v="2"/>
    <x v="0"/>
    <x v="0"/>
    <x v="21"/>
    <x v="1"/>
    <x v="2"/>
  </r>
  <r>
    <d v="2017-03-04T00:00:00"/>
    <x v="1"/>
    <s v="Local_02"/>
    <x v="0"/>
    <x v="0"/>
    <x v="4"/>
    <x v="0"/>
    <x v="1"/>
    <x v="25"/>
    <x v="1"/>
    <x v="2"/>
  </r>
  <r>
    <d v="2017-03-06T00:00:00"/>
    <x v="0"/>
    <s v="Local_04"/>
    <x v="0"/>
    <x v="0"/>
    <x v="1"/>
    <x v="0"/>
    <x v="2"/>
    <x v="14"/>
    <x v="1"/>
    <x v="2"/>
  </r>
  <r>
    <d v="2017-03-08T00:00:00"/>
    <x v="2"/>
    <s v="Local_10"/>
    <x v="2"/>
    <x v="0"/>
    <x v="2"/>
    <x v="0"/>
    <x v="0"/>
    <x v="3"/>
    <x v="1"/>
    <x v="2"/>
  </r>
  <r>
    <d v="2017-03-09T00:00:00"/>
    <x v="0"/>
    <s v="Local_03"/>
    <x v="0"/>
    <x v="0"/>
    <x v="4"/>
    <x v="0"/>
    <x v="0"/>
    <x v="25"/>
    <x v="1"/>
    <x v="2"/>
  </r>
  <r>
    <d v="2017-03-08T00:00:00"/>
    <x v="0"/>
    <s v="Local_01"/>
    <x v="0"/>
    <x v="4"/>
    <x v="4"/>
    <x v="0"/>
    <x v="0"/>
    <x v="25"/>
    <x v="1"/>
    <x v="2"/>
  </r>
  <r>
    <d v="2017-03-09T00:00:00"/>
    <x v="1"/>
    <s v="Local_05"/>
    <x v="1"/>
    <x v="0"/>
    <x v="1"/>
    <x v="0"/>
    <x v="0"/>
    <x v="27"/>
    <x v="1"/>
    <x v="2"/>
  </r>
  <r>
    <d v="2017-03-10T00:00:00"/>
    <x v="0"/>
    <s v="Local_03"/>
    <x v="0"/>
    <x v="3"/>
    <x v="0"/>
    <x v="0"/>
    <x v="0"/>
    <x v="31"/>
    <x v="1"/>
    <x v="2"/>
  </r>
  <r>
    <d v="2017-03-15T00:00:00"/>
    <x v="2"/>
    <s v="Local_10"/>
    <x v="2"/>
    <x v="0"/>
    <x v="2"/>
    <x v="0"/>
    <x v="0"/>
    <x v="21"/>
    <x v="1"/>
    <x v="2"/>
  </r>
  <r>
    <d v="2017-03-15T00:00:00"/>
    <x v="1"/>
    <s v="Local_08"/>
    <x v="1"/>
    <x v="3"/>
    <x v="0"/>
    <x v="1"/>
    <x v="1"/>
    <x v="5"/>
    <x v="1"/>
    <x v="2"/>
  </r>
  <r>
    <d v="2017-03-18T00:00:00"/>
    <x v="0"/>
    <s v="Local_03"/>
    <x v="0"/>
    <x v="4"/>
    <x v="4"/>
    <x v="0"/>
    <x v="2"/>
    <x v="28"/>
    <x v="1"/>
    <x v="2"/>
  </r>
  <r>
    <d v="2017-03-22T00:00:00"/>
    <x v="0"/>
    <s v="Local_06"/>
    <x v="1"/>
    <x v="4"/>
    <x v="4"/>
    <x v="0"/>
    <x v="2"/>
    <x v="28"/>
    <x v="1"/>
    <x v="2"/>
  </r>
  <r>
    <d v="2017-03-25T00:00:00"/>
    <x v="0"/>
    <s v="Local_03"/>
    <x v="0"/>
    <x v="3"/>
    <x v="4"/>
    <x v="0"/>
    <x v="0"/>
    <x v="25"/>
    <x v="1"/>
    <x v="2"/>
  </r>
  <r>
    <d v="2017-03-25T00:00:00"/>
    <x v="2"/>
    <s v="Local_10"/>
    <x v="2"/>
    <x v="0"/>
    <x v="2"/>
    <x v="0"/>
    <x v="1"/>
    <x v="3"/>
    <x v="1"/>
    <x v="2"/>
  </r>
  <r>
    <d v="2017-03-31T00:00:00"/>
    <x v="1"/>
    <s v="Local_05"/>
    <x v="1"/>
    <x v="0"/>
    <x v="0"/>
    <x v="0"/>
    <x v="0"/>
    <x v="16"/>
    <x v="1"/>
    <x v="2"/>
  </r>
  <r>
    <d v="2017-04-04T00:00:00"/>
    <x v="1"/>
    <s v="Local_05"/>
    <x v="1"/>
    <x v="0"/>
    <x v="1"/>
    <x v="0"/>
    <x v="1"/>
    <x v="5"/>
    <x v="1"/>
    <x v="3"/>
  </r>
  <r>
    <d v="2017-04-05T00:00:00"/>
    <x v="1"/>
    <s v="Local_05"/>
    <x v="1"/>
    <x v="0"/>
    <x v="0"/>
    <x v="0"/>
    <x v="1"/>
    <x v="11"/>
    <x v="1"/>
    <x v="3"/>
  </r>
  <r>
    <d v="2017-04-07T00:00:00"/>
    <x v="1"/>
    <s v="Local_02"/>
    <x v="0"/>
    <x v="0"/>
    <x v="1"/>
    <x v="0"/>
    <x v="2"/>
    <x v="3"/>
    <x v="1"/>
    <x v="3"/>
  </r>
  <r>
    <d v="2017-04-04T00:00:00"/>
    <x v="2"/>
    <s v="Local_10"/>
    <x v="2"/>
    <x v="0"/>
    <x v="2"/>
    <x v="0"/>
    <x v="0"/>
    <x v="21"/>
    <x v="1"/>
    <x v="3"/>
  </r>
  <r>
    <d v="2017-04-06T00:00:00"/>
    <x v="0"/>
    <s v="Local_06"/>
    <x v="1"/>
    <x v="0"/>
    <x v="3"/>
    <x v="0"/>
    <x v="0"/>
    <x v="3"/>
    <x v="1"/>
    <x v="3"/>
  </r>
  <r>
    <d v="2017-04-07T00:00:00"/>
    <x v="0"/>
    <s v="Local_03"/>
    <x v="0"/>
    <x v="0"/>
    <x v="0"/>
    <x v="0"/>
    <x v="0"/>
    <x v="16"/>
    <x v="1"/>
    <x v="3"/>
  </r>
  <r>
    <d v="2017-04-10T00:00:00"/>
    <x v="1"/>
    <s v="Local_02"/>
    <x v="0"/>
    <x v="0"/>
    <x v="3"/>
    <x v="0"/>
    <x v="0"/>
    <x v="5"/>
    <x v="1"/>
    <x v="3"/>
  </r>
  <r>
    <d v="2017-04-08T00:00:00"/>
    <x v="2"/>
    <s v="Local_10"/>
    <x v="2"/>
    <x v="0"/>
    <x v="2"/>
    <x v="0"/>
    <x v="0"/>
    <x v="21"/>
    <x v="1"/>
    <x v="3"/>
  </r>
  <r>
    <d v="2017-04-11T00:00:00"/>
    <x v="0"/>
    <s v="Local_03"/>
    <x v="0"/>
    <x v="0"/>
    <x v="0"/>
    <x v="0"/>
    <x v="2"/>
    <x v="32"/>
    <x v="1"/>
    <x v="3"/>
  </r>
  <r>
    <d v="2017-04-11T00:00:00"/>
    <x v="1"/>
    <s v="Local_07"/>
    <x v="0"/>
    <x v="0"/>
    <x v="3"/>
    <x v="0"/>
    <x v="2"/>
    <x v="3"/>
    <x v="1"/>
    <x v="3"/>
  </r>
  <r>
    <d v="2017-04-13T00:00:00"/>
    <x v="0"/>
    <s v="Local_01"/>
    <x v="0"/>
    <x v="0"/>
    <x v="3"/>
    <x v="0"/>
    <x v="1"/>
    <x v="3"/>
    <x v="1"/>
    <x v="3"/>
  </r>
  <r>
    <d v="2017-04-12T00:00:00"/>
    <x v="2"/>
    <s v="Local_10"/>
    <x v="2"/>
    <x v="0"/>
    <x v="2"/>
    <x v="0"/>
    <x v="0"/>
    <x v="21"/>
    <x v="1"/>
    <x v="3"/>
  </r>
  <r>
    <d v="2017-04-23T00:00:00"/>
    <x v="0"/>
    <s v="Local_04"/>
    <x v="0"/>
    <x v="0"/>
    <x v="1"/>
    <x v="0"/>
    <x v="0"/>
    <x v="3"/>
    <x v="1"/>
    <x v="3"/>
  </r>
  <r>
    <d v="2017-04-19T00:00:00"/>
    <x v="2"/>
    <s v="Local_10"/>
    <x v="2"/>
    <x v="0"/>
    <x v="0"/>
    <x v="0"/>
    <x v="0"/>
    <x v="3"/>
    <x v="1"/>
    <x v="3"/>
  </r>
  <r>
    <d v="2017-04-23T00:00:00"/>
    <x v="0"/>
    <s v="Local_06"/>
    <x v="1"/>
    <x v="0"/>
    <x v="3"/>
    <x v="0"/>
    <x v="0"/>
    <x v="20"/>
    <x v="1"/>
    <x v="3"/>
  </r>
  <r>
    <d v="2017-04-25T00:00:00"/>
    <x v="2"/>
    <s v="Local_10"/>
    <x v="2"/>
    <x v="0"/>
    <x v="2"/>
    <x v="0"/>
    <x v="0"/>
    <x v="21"/>
    <x v="1"/>
    <x v="3"/>
  </r>
  <r>
    <d v="2017-04-25T00:00:00"/>
    <x v="1"/>
    <s v="Local_07"/>
    <x v="0"/>
    <x v="1"/>
    <x v="4"/>
    <x v="0"/>
    <x v="1"/>
    <x v="24"/>
    <x v="1"/>
    <x v="3"/>
  </r>
  <r>
    <d v="2017-04-25T00:00:00"/>
    <x v="0"/>
    <s v="Local_01"/>
    <x v="0"/>
    <x v="1"/>
    <x v="0"/>
    <x v="0"/>
    <x v="1"/>
    <x v="0"/>
    <x v="1"/>
    <x v="3"/>
  </r>
  <r>
    <d v="2017-04-24T00:00:00"/>
    <x v="0"/>
    <s v="Local_03"/>
    <x v="0"/>
    <x v="0"/>
    <x v="4"/>
    <x v="0"/>
    <x v="1"/>
    <x v="3"/>
    <x v="1"/>
    <x v="3"/>
  </r>
  <r>
    <d v="2017-04-28T00:00:00"/>
    <x v="1"/>
    <s v="Local_05"/>
    <x v="1"/>
    <x v="0"/>
    <x v="3"/>
    <x v="0"/>
    <x v="1"/>
    <x v="3"/>
    <x v="1"/>
    <x v="3"/>
  </r>
  <r>
    <d v="2017-04-29T00:00:00"/>
    <x v="1"/>
    <s v="Local_02"/>
    <x v="0"/>
    <x v="3"/>
    <x v="1"/>
    <x v="0"/>
    <x v="1"/>
    <x v="2"/>
    <x v="1"/>
    <x v="3"/>
  </r>
  <r>
    <d v="2017-04-30T00:00:00"/>
    <x v="1"/>
    <s v="Local_05"/>
    <x v="1"/>
    <x v="0"/>
    <x v="3"/>
    <x v="0"/>
    <x v="1"/>
    <x v="3"/>
    <x v="1"/>
    <x v="3"/>
  </r>
  <r>
    <d v="2017-05-05T00:00:00"/>
    <x v="1"/>
    <s v="Local_02"/>
    <x v="0"/>
    <x v="0"/>
    <x v="3"/>
    <x v="0"/>
    <x v="2"/>
    <x v="3"/>
    <x v="1"/>
    <x v="4"/>
  </r>
  <r>
    <d v="2017-05-06T00:00:00"/>
    <x v="0"/>
    <s v="Local_01"/>
    <x v="0"/>
    <x v="2"/>
    <x v="0"/>
    <x v="0"/>
    <x v="0"/>
    <x v="2"/>
    <x v="1"/>
    <x v="4"/>
  </r>
  <r>
    <d v="2017-05-06T00:00:00"/>
    <x v="1"/>
    <s v="Local_07"/>
    <x v="0"/>
    <x v="1"/>
    <x v="4"/>
    <x v="0"/>
    <x v="1"/>
    <x v="20"/>
    <x v="1"/>
    <x v="4"/>
  </r>
  <r>
    <d v="2017-05-06T00:00:00"/>
    <x v="1"/>
    <s v="Local_07"/>
    <x v="0"/>
    <x v="3"/>
    <x v="4"/>
    <x v="0"/>
    <x v="1"/>
    <x v="20"/>
    <x v="1"/>
    <x v="4"/>
  </r>
  <r>
    <d v="2017-05-10T00:00:00"/>
    <x v="0"/>
    <s v="Local_04"/>
    <x v="0"/>
    <x v="4"/>
    <x v="4"/>
    <x v="0"/>
    <x v="0"/>
    <x v="14"/>
    <x v="1"/>
    <x v="4"/>
  </r>
  <r>
    <d v="2017-05-16T00:00:00"/>
    <x v="1"/>
    <s v="Local_05"/>
    <x v="1"/>
    <x v="0"/>
    <x v="1"/>
    <x v="1"/>
    <x v="2"/>
    <x v="13"/>
    <x v="1"/>
    <x v="4"/>
  </r>
  <r>
    <d v="2017-05-16T00:00:00"/>
    <x v="0"/>
    <s v="Local_03"/>
    <x v="0"/>
    <x v="1"/>
    <x v="0"/>
    <x v="0"/>
    <x v="1"/>
    <x v="3"/>
    <x v="1"/>
    <x v="4"/>
  </r>
  <r>
    <d v="2017-05-16T00:00:00"/>
    <x v="1"/>
    <s v="Local_12"/>
    <x v="2"/>
    <x v="0"/>
    <x v="2"/>
    <x v="0"/>
    <x v="1"/>
    <x v="3"/>
    <x v="1"/>
    <x v="4"/>
  </r>
  <r>
    <d v="2017-05-17T00:00:00"/>
    <x v="1"/>
    <s v="Local_07"/>
    <x v="0"/>
    <x v="0"/>
    <x v="2"/>
    <x v="0"/>
    <x v="1"/>
    <x v="13"/>
    <x v="1"/>
    <x v="4"/>
  </r>
  <r>
    <d v="2017-05-18T00:00:00"/>
    <x v="0"/>
    <s v="Local_06"/>
    <x v="1"/>
    <x v="1"/>
    <x v="0"/>
    <x v="0"/>
    <x v="0"/>
    <x v="0"/>
    <x v="1"/>
    <x v="4"/>
  </r>
  <r>
    <d v="2017-05-19T00:00:00"/>
    <x v="0"/>
    <s v="Local_06"/>
    <x v="1"/>
    <x v="0"/>
    <x v="3"/>
    <x v="0"/>
    <x v="1"/>
    <x v="20"/>
    <x v="1"/>
    <x v="4"/>
  </r>
  <r>
    <d v="2017-05-23T00:00:00"/>
    <x v="0"/>
    <s v="Local_04"/>
    <x v="0"/>
    <x v="0"/>
    <x v="0"/>
    <x v="0"/>
    <x v="0"/>
    <x v="33"/>
    <x v="1"/>
    <x v="4"/>
  </r>
  <r>
    <d v="2017-05-23T00:00:00"/>
    <x v="0"/>
    <s v="Local_03"/>
    <x v="0"/>
    <x v="0"/>
    <x v="0"/>
    <x v="0"/>
    <x v="0"/>
    <x v="3"/>
    <x v="1"/>
    <x v="4"/>
  </r>
  <r>
    <d v="2017-05-30T00:00:00"/>
    <x v="1"/>
    <s v="Local_12"/>
    <x v="2"/>
    <x v="0"/>
    <x v="3"/>
    <x v="1"/>
    <x v="1"/>
    <x v="3"/>
    <x v="1"/>
    <x v="4"/>
  </r>
  <r>
    <d v="2017-06-04T00:00:00"/>
    <x v="1"/>
    <s v="Local_05"/>
    <x v="1"/>
    <x v="0"/>
    <x v="0"/>
    <x v="0"/>
    <x v="1"/>
    <x v="3"/>
    <x v="1"/>
    <x v="5"/>
  </r>
  <r>
    <d v="2017-06-09T00:00:00"/>
    <x v="0"/>
    <s v="Local_03"/>
    <x v="0"/>
    <x v="0"/>
    <x v="0"/>
    <x v="0"/>
    <x v="0"/>
    <x v="20"/>
    <x v="1"/>
    <x v="5"/>
  </r>
  <r>
    <d v="2017-06-09T00:00:00"/>
    <x v="0"/>
    <s v="Local_06"/>
    <x v="1"/>
    <x v="0"/>
    <x v="1"/>
    <x v="0"/>
    <x v="0"/>
    <x v="14"/>
    <x v="1"/>
    <x v="5"/>
  </r>
  <r>
    <d v="2017-06-11T00:00:00"/>
    <x v="0"/>
    <s v="Local_04"/>
    <x v="0"/>
    <x v="0"/>
    <x v="3"/>
    <x v="0"/>
    <x v="0"/>
    <x v="3"/>
    <x v="1"/>
    <x v="5"/>
  </r>
  <r>
    <d v="2017-06-11T00:00:00"/>
    <x v="0"/>
    <s v="Local_04"/>
    <x v="0"/>
    <x v="0"/>
    <x v="3"/>
    <x v="0"/>
    <x v="1"/>
    <x v="0"/>
    <x v="1"/>
    <x v="5"/>
  </r>
  <r>
    <d v="2017-06-11T00:00:00"/>
    <x v="0"/>
    <s v="Local_06"/>
    <x v="1"/>
    <x v="0"/>
    <x v="3"/>
    <x v="0"/>
    <x v="0"/>
    <x v="13"/>
    <x v="1"/>
    <x v="5"/>
  </r>
  <r>
    <d v="2017-06-11T00:00:00"/>
    <x v="0"/>
    <s v="Local_01"/>
    <x v="0"/>
    <x v="0"/>
    <x v="0"/>
    <x v="0"/>
    <x v="0"/>
    <x v="3"/>
    <x v="1"/>
    <x v="5"/>
  </r>
  <r>
    <d v="2017-06-14T00:00:00"/>
    <x v="1"/>
    <s v="Local_02"/>
    <x v="0"/>
    <x v="2"/>
    <x v="0"/>
    <x v="0"/>
    <x v="2"/>
    <x v="0"/>
    <x v="1"/>
    <x v="5"/>
  </r>
  <r>
    <d v="2017-06-15T00:00:00"/>
    <x v="0"/>
    <s v="Local_03"/>
    <x v="0"/>
    <x v="0"/>
    <x v="0"/>
    <x v="0"/>
    <x v="1"/>
    <x v="20"/>
    <x v="1"/>
    <x v="5"/>
  </r>
  <r>
    <d v="2017-06-17T00:00:00"/>
    <x v="0"/>
    <s v="Local_03"/>
    <x v="0"/>
    <x v="3"/>
    <x v="0"/>
    <x v="0"/>
    <x v="0"/>
    <x v="20"/>
    <x v="1"/>
    <x v="5"/>
  </r>
  <r>
    <d v="2017-06-18T00:00:00"/>
    <x v="0"/>
    <s v="Local_04"/>
    <x v="0"/>
    <x v="1"/>
    <x v="0"/>
    <x v="0"/>
    <x v="0"/>
    <x v="24"/>
    <x v="1"/>
    <x v="5"/>
  </r>
  <r>
    <d v="2017-06-24T00:00:00"/>
    <x v="0"/>
    <s v="Local_01"/>
    <x v="0"/>
    <x v="3"/>
    <x v="1"/>
    <x v="0"/>
    <x v="1"/>
    <x v="3"/>
    <x v="1"/>
    <x v="5"/>
  </r>
  <r>
    <d v="2017-06-20T00:00:00"/>
    <x v="0"/>
    <s v="Local_01"/>
    <x v="0"/>
    <x v="0"/>
    <x v="0"/>
    <x v="0"/>
    <x v="1"/>
    <x v="3"/>
    <x v="1"/>
    <x v="5"/>
  </r>
  <r>
    <d v="2017-06-20T00:00:00"/>
    <x v="0"/>
    <s v="Local_01"/>
    <x v="0"/>
    <x v="0"/>
    <x v="0"/>
    <x v="0"/>
    <x v="0"/>
    <x v="3"/>
    <x v="1"/>
    <x v="5"/>
  </r>
  <r>
    <d v="2017-06-24T00:00:00"/>
    <x v="0"/>
    <s v="Local_03"/>
    <x v="0"/>
    <x v="0"/>
    <x v="3"/>
    <x v="1"/>
    <x v="0"/>
    <x v="13"/>
    <x v="1"/>
    <x v="5"/>
  </r>
  <r>
    <d v="2017-06-23T00:00:00"/>
    <x v="1"/>
    <s v="Local_05"/>
    <x v="1"/>
    <x v="0"/>
    <x v="3"/>
    <x v="0"/>
    <x v="1"/>
    <x v="3"/>
    <x v="1"/>
    <x v="5"/>
  </r>
  <r>
    <d v="2017-06-19T00:00:00"/>
    <x v="2"/>
    <s v="Local_10"/>
    <x v="2"/>
    <x v="2"/>
    <x v="0"/>
    <x v="0"/>
    <x v="0"/>
    <x v="3"/>
    <x v="1"/>
    <x v="5"/>
  </r>
  <r>
    <d v="2017-06-22T00:00:00"/>
    <x v="2"/>
    <s v="Local_10"/>
    <x v="2"/>
    <x v="0"/>
    <x v="0"/>
    <x v="0"/>
    <x v="1"/>
    <x v="3"/>
    <x v="1"/>
    <x v="5"/>
  </r>
  <r>
    <d v="2017-06-22T00:00:00"/>
    <x v="2"/>
    <s v="Local_10"/>
    <x v="2"/>
    <x v="0"/>
    <x v="2"/>
    <x v="0"/>
    <x v="1"/>
    <x v="21"/>
    <x v="1"/>
    <x v="5"/>
  </r>
  <r>
    <d v="2017-06-29T00:00:00"/>
    <x v="1"/>
    <s v="Local_02"/>
    <x v="0"/>
    <x v="0"/>
    <x v="1"/>
    <x v="0"/>
    <x v="1"/>
    <x v="0"/>
    <x v="1"/>
    <x v="5"/>
  </r>
  <r>
    <d v="2017-07-04T00:00:00"/>
    <x v="0"/>
    <s v="Local_04"/>
    <x v="0"/>
    <x v="0"/>
    <x v="1"/>
    <x v="0"/>
    <x v="0"/>
    <x v="3"/>
    <x v="1"/>
    <x v="6"/>
  </r>
  <r>
    <d v="2017-07-04T00:00:00"/>
    <x v="0"/>
    <s v="Local_03"/>
    <x v="0"/>
    <x v="0"/>
    <x v="3"/>
    <x v="1"/>
    <x v="1"/>
    <x v="3"/>
    <x v="1"/>
    <x v="6"/>
  </r>
  <r>
    <d v="2017-07-05T00:00:00"/>
    <x v="1"/>
    <s v="Local_09"/>
    <x v="1"/>
    <x v="0"/>
    <x v="3"/>
    <x v="0"/>
    <x v="1"/>
    <x v="21"/>
    <x v="1"/>
    <x v="6"/>
  </r>
  <r>
    <d v="2017-07-06T00:00:00"/>
    <x v="1"/>
    <s v="Local_05"/>
    <x v="1"/>
    <x v="0"/>
    <x v="3"/>
    <x v="0"/>
    <x v="1"/>
    <x v="13"/>
    <x v="1"/>
    <x v="6"/>
  </r>
  <r>
    <d v="2017-07-09T00:00:00"/>
    <x v="0"/>
    <s v="Local_04"/>
    <x v="0"/>
    <x v="0"/>
    <x v="3"/>
    <x v="1"/>
    <x v="0"/>
    <x v="4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F54F7-F80F-41F5-87EA-E58F8ABFC4FE}" name="PivotTable3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7" firstHeaderRow="1" firstDataRow="1" firstDataCol="1"/>
  <pivotFields count="11"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Dat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25283-3579-4FA3-9595-C35EE44C5C01}" name="PivotTable2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9:B22" firstHeaderRow="1" firstDataRow="1" firstDataCol="1"/>
  <pivotFields count="11"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Dat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38A56-1D6D-494A-AF6B-8CBCC27F177A}" name="PivotTable5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9:B43" firstHeaderRow="1" firstDataRow="1" firstDataCol="1"/>
  <pivotFields count="11">
    <pivotField compact="0" numFmtId="164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ident Leve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A98EC-BF38-4746-AB58-8E57CB2FA7E4}" name="PivotTable7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2:B56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ident Leve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94923-578E-4BA3-AC23-B2CEB4880BDF}" name="PivotTable1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11"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Dat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27884-A242-4A6E-9AFC-84994F8540A1}" name="PivotTable4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2:B36" firstHeaderRow="1" firstDataRow="1" firstDataCol="1"/>
  <pivotFields count="11">
    <pivotField compact="0" numFmtId="16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ident Leve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4DB4B-DDEB-40E7-896C-2114C357CAD4}" name="PivotTable6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6:B49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Accident Leve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550FF-FBCB-469D-AB43-2F534A184619}" name="PivotTable9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61:H75" firstHeaderRow="1" firstDataRow="1" firstDataCol="1"/>
  <pivotFields count="11">
    <pivotField compact="0" numFmtId="16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measureFilter="1" sortType="descending">
      <items count="35">
        <item x="17"/>
        <item x="15"/>
        <item x="10"/>
        <item x="29"/>
        <item x="5"/>
        <item x="8"/>
        <item x="13"/>
        <item x="7"/>
        <item x="32"/>
        <item x="14"/>
        <item x="16"/>
        <item x="4"/>
        <item x="31"/>
        <item x="6"/>
        <item x="27"/>
        <item x="2"/>
        <item x="18"/>
        <item x="3"/>
        <item x="22"/>
        <item x="12"/>
        <item x="28"/>
        <item x="0"/>
        <item x="1"/>
        <item x="9"/>
        <item x="20"/>
        <item x="33"/>
        <item x="23"/>
        <item x="26"/>
        <item x="30"/>
        <item x="24"/>
        <item x="11"/>
        <item x="19"/>
        <item x="25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8"/>
  </rowFields>
  <rowItems count="14">
    <i>
      <x v="17"/>
    </i>
    <i>
      <x v="21"/>
    </i>
    <i>
      <x v="15"/>
    </i>
    <i>
      <x v="4"/>
    </i>
    <i>
      <x v="6"/>
    </i>
    <i>
      <x v="33"/>
    </i>
    <i>
      <x v="24"/>
    </i>
    <i>
      <x v="9"/>
    </i>
    <i>
      <x v="32"/>
    </i>
    <i>
      <x v="29"/>
    </i>
    <i>
      <x v="22"/>
    </i>
    <i>
      <x v="11"/>
    </i>
    <i>
      <x v="1"/>
    </i>
    <i t="grand">
      <x/>
    </i>
  </rowItems>
  <colItems count="1">
    <i/>
  </colItems>
  <dataFields count="1">
    <dataField name="Count of Accident Leve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79B45-C869-4FEE-8454-9091E0A625F3}" name="PivotTable8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9:C66" firstHeaderRow="1" firstDataRow="1" firstDataCol="2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h="1" x="0"/>
        <item h="1" x="3"/>
        <item h="1" x="2"/>
        <item h="1" x="1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</pivotFields>
  <rowFields count="2">
    <field x="7"/>
    <field x="4"/>
  </rowFields>
  <rowItems count="7">
    <i>
      <x/>
      <x v="4"/>
    </i>
    <i t="default">
      <x/>
    </i>
    <i>
      <x v="1"/>
      <x v="4"/>
    </i>
    <i t="default">
      <x v="1"/>
    </i>
    <i>
      <x v="2"/>
      <x v="4"/>
    </i>
    <i t="default">
      <x v="2"/>
    </i>
    <i t="grand">
      <x/>
    </i>
  </rowItems>
  <colItems count="1">
    <i/>
  </colItems>
  <dataFields count="1">
    <dataField name="Count of Accident Leve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D9AB6-57B6-4073-8510-4B65B38903A5}" name="PivotTable10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12:M19" firstHeaderRow="1" firstDataRow="2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3"/>
        <item x="2"/>
        <item x="1"/>
        <item x="4"/>
        <item t="default"/>
      </items>
    </pivotField>
    <pivotField axis="axisCol" compact="0" outline="0" showAll="0">
      <items count="7">
        <item x="2"/>
        <item x="3"/>
        <item x="1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ccident Level" fld="4" subtotal="count" baseField="0" baseItem="0"/>
  </dataFields>
  <chartFormats count="24"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1D6BD-1227-44A4-B497-DB26A375E49F}" name="PivotTable4" cacheId="9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H10" firstHeaderRow="1" firstDataRow="2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3"/>
        <item x="2"/>
        <item x="1"/>
        <item x="4"/>
        <item t="default"/>
      </items>
    </pivotField>
    <pivotField axis="axisCol" compact="0" outline="0" showAll="0">
      <items count="7">
        <item x="2"/>
        <item x="3"/>
        <item x="1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ccident Level" fld="4" subtotal="count" baseField="0" baseItem="0"/>
  </dataFields>
  <chartFormats count="24"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ies" xr10:uid="{8E3AA025-E88C-4525-A472-B56EC95455D8}" sourceName="Countries">
  <pivotTables>
    <pivotTable tabId="2" name="PivotTable9"/>
  </pivotTables>
  <data>
    <tabular pivotCacheId="188915059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dustry_Sector" xr10:uid="{549D9451-32BF-4431-8CBC-3462142EABC1}" sourceName="Industry Sector">
  <pivotTables>
    <pivotTable tabId="2" name="PivotTable9"/>
  </pivotTables>
  <data>
    <tabular pivotCacheId="1889150590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mployee_or_Third_Party" xr10:uid="{86398711-F22F-481E-B829-A42544BB3D3E}" sourceName="Employee or Third Party">
  <pivotTables>
    <pivotTable tabId="2" name="PivotTable9"/>
    <pivotTable tabId="2" name="PivotTable8"/>
    <pivotTable tabId="2" name="PivotTable7"/>
    <pivotTable tabId="2" name="PivotTable6"/>
    <pivotTable tabId="2" name="PivotTable4"/>
    <pivotTable tabId="2" name="PivotTable2"/>
    <pivotTable tabId="2" name="PivotTable5"/>
    <pivotTable tabId="2" name="PivotTable1"/>
    <pivotTable tabId="2" name="PivotTable3"/>
  </pivotTables>
  <data>
    <tabular pivotCacheId="1889150590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51E40175-ADE9-4C41-A832-41C7FAECFC2B}" sourceName="year">
  <pivotTables>
    <pivotTable tabId="2" name="PivotTable9"/>
    <pivotTable tabId="2" name="PivotTable1"/>
    <pivotTable tabId="2" name="PivotTable2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3"/>
  </pivotTables>
  <data>
    <tabular pivotCacheId="1889150590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70490376-7A85-4640-A315-9DCF7038F7BF}" sourceName="month">
  <pivotTables>
    <pivotTable tabId="2" name="PivotTable2"/>
  </pivotTables>
  <data>
    <tabular pivotCacheId="1889150590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ritical_Risk" xr10:uid="{CAFC5DBC-786A-419F-98D2-38A6A21B5069}" sourceName="Critical Risk">
  <pivotTables>
    <pivotTable tabId="2" name="PivotTable9"/>
  </pivotTables>
  <data>
    <tabular pivotCacheId="1889150590">
      <items count="34">
        <i x="17" s="1"/>
        <i x="15" s="1"/>
        <i x="10" s="1"/>
        <i x="29" s="1"/>
        <i x="5" s="1"/>
        <i x="8" s="1"/>
        <i x="13" s="1"/>
        <i x="7" s="1"/>
        <i x="32" s="1"/>
        <i x="14" s="1"/>
        <i x="16" s="1"/>
        <i x="4" s="1"/>
        <i x="31" s="1"/>
        <i x="6" s="1"/>
        <i x="27" s="1"/>
        <i x="2" s="1"/>
        <i x="18" s="1"/>
        <i x="3" s="1"/>
        <i x="22" s="1"/>
        <i x="12" s="1"/>
        <i x="28" s="1"/>
        <i x="0" s="1"/>
        <i x="1" s="1"/>
        <i x="9" s="1"/>
        <i x="20" s="1"/>
        <i x="33" s="1"/>
        <i x="23" s="1"/>
        <i x="26" s="1"/>
        <i x="30" s="1"/>
        <i x="24" s="1"/>
        <i x="11" s="1"/>
        <i x="19" s="1"/>
        <i x="25" s="1"/>
        <i x="2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ies" xr10:uid="{82A97204-14E8-4FCB-8488-5D6BD345FBB9}" cache="Slicer_Countries" caption="Countries" rowHeight="228600"/>
  <slicer name="Industry Sector" xr10:uid="{EF7F8493-F89C-4FB7-93E7-5B9B8FB28269}" cache="Slicer_Industry_Sector" caption="Industry Sector" rowHeight="228600"/>
  <slicer name="Employee or Third Party" xr10:uid="{71D70D9C-9C7A-4442-96EF-DB2D81C17D5B}" cache="Slicer_Employee_or_Third_Party" caption="Employee or Third Party" rowHeight="228600"/>
  <slicer name="year" xr10:uid="{BE01901A-B220-427B-9641-72F2AD7DFE5A}" cache="Slicer_year" caption="year" rowHeight="228600"/>
  <slicer name="month" xr10:uid="{A04CF61B-9AA1-4313-B93E-BA5289F90749}" cache="Slicer_month" caption="month" rowHeight="228600"/>
  <slicer name="Critical Risk" xr10:uid="{8C1689A2-4679-4EB7-95D6-1BAD99C4DC8C}" cache="Slicer_Critical_Risk" caption="Critical Risk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32995-056F-491B-90E4-F9E13C42DD32}" name="Table1" displayName="Table1" ref="A1:K417" totalsRowShown="0" headerRowDxfId="14" dataDxfId="13" headerRowBorderDxfId="11" tableBorderDxfId="12">
  <autoFilter ref="A1:K417" xr:uid="{D4632995-056F-491B-90E4-F9E13C42DD32}"/>
  <tableColumns count="11">
    <tableColumn id="1" xr3:uid="{57039910-3A98-4281-A873-6AEA607B8EAC}" name="Data" dataDxfId="10"/>
    <tableColumn id="2" xr3:uid="{30FD2E7B-33EC-4201-9BE6-0AA365E95471}" name="Countries" dataDxfId="9"/>
    <tableColumn id="3" xr3:uid="{7FE0A209-C0EB-4791-87AE-634F208BA0DC}" name="Local" dataDxfId="8"/>
    <tableColumn id="4" xr3:uid="{578EC013-F0A3-4A5D-BB1A-E21366050C98}" name="Industry Sector" dataDxfId="7"/>
    <tableColumn id="5" xr3:uid="{EBCE28C5-1966-4C2D-A30B-A2D250CC9DF0}" name="Accident Level" dataDxfId="6"/>
    <tableColumn id="6" xr3:uid="{BC02FFCE-C80E-4C99-8E4E-4B82187F8ED2}" name="Potential Accident Level" dataDxfId="5"/>
    <tableColumn id="7" xr3:uid="{DB3CB61B-2955-4A84-9002-49BDCB308C64}" name="Genre" dataDxfId="4"/>
    <tableColumn id="8" xr3:uid="{30986F64-2FDD-43B2-9DDE-15B95D88B08F}" name="Employee or Third Party" dataDxfId="3"/>
    <tableColumn id="9" xr3:uid="{437F285A-412B-443D-BDB0-B85A80A6D292}" name="Critical Risk" dataDxfId="2"/>
    <tableColumn id="10" xr3:uid="{F20F1261-346F-4A58-A1AC-D45DCAEB87E0}" name="year" dataDxfId="1">
      <calculatedColumnFormula>YEAR(Table1[[#This Row],[Data]])</calculatedColumnFormula>
    </tableColumn>
    <tableColumn id="11" xr3:uid="{3C7BE0F7-3F16-4B85-9F37-386C41D6A4E3}" name="month" dataDxfId="0">
      <calculatedColumnFormula>TEXT(Table1[[#This Row],[Data]],"mm")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63B-A9DC-45D6-971B-015F9EE8DEBE}">
  <dimension ref="A2:M75"/>
  <sheetViews>
    <sheetView showGridLines="0" tabSelected="1" workbookViewId="0">
      <selection activeCell="F12" sqref="F12:M19"/>
    </sheetView>
  </sheetViews>
  <sheetFormatPr defaultRowHeight="15"/>
  <cols>
    <col min="1" max="1" width="11.7109375" bestFit="1" customWidth="1"/>
    <col min="2" max="2" width="22.5703125" customWidth="1"/>
    <col min="3" max="3" width="22.5703125" bestFit="1" customWidth="1"/>
    <col min="5" max="5" width="11.7109375" bestFit="1" customWidth="1"/>
    <col min="6" max="6" width="13.5703125" bestFit="1" customWidth="1"/>
    <col min="7" max="7" width="29.28515625" bestFit="1" customWidth="1"/>
    <col min="8" max="8" width="22.5703125" bestFit="1" customWidth="1"/>
  </cols>
  <sheetData>
    <row r="2" spans="1:13" ht="15.75">
      <c r="A2" s="7" t="s">
        <v>0</v>
      </c>
      <c r="B2" s="6"/>
    </row>
    <row r="3" spans="1:13">
      <c r="A3" s="4" t="s">
        <v>1</v>
      </c>
      <c r="B3" t="s">
        <v>2</v>
      </c>
    </row>
    <row r="4" spans="1:13">
      <c r="A4">
        <v>2016</v>
      </c>
      <c r="B4">
        <v>282</v>
      </c>
      <c r="E4" s="4" t="s">
        <v>1</v>
      </c>
      <c r="F4" t="s">
        <v>2</v>
      </c>
    </row>
    <row r="5" spans="1:13">
      <c r="A5">
        <v>2017</v>
      </c>
      <c r="B5">
        <v>134</v>
      </c>
      <c r="E5">
        <v>2016</v>
      </c>
      <c r="F5">
        <v>282</v>
      </c>
    </row>
    <row r="6" spans="1:13">
      <c r="A6" t="s">
        <v>3</v>
      </c>
      <c r="B6">
        <v>416</v>
      </c>
      <c r="E6">
        <v>2017</v>
      </c>
      <c r="F6">
        <v>134</v>
      </c>
    </row>
    <row r="7" spans="1:13">
      <c r="E7" t="s">
        <v>3</v>
      </c>
      <c r="F7">
        <v>416</v>
      </c>
    </row>
    <row r="8" spans="1:13">
      <c r="A8" s="5" t="s">
        <v>4</v>
      </c>
      <c r="B8" s="6"/>
    </row>
    <row r="9" spans="1:13">
      <c r="A9" s="4" t="s">
        <v>5</v>
      </c>
      <c r="B9" t="s">
        <v>2</v>
      </c>
    </row>
    <row r="10" spans="1:13">
      <c r="A10" t="s">
        <v>6</v>
      </c>
      <c r="B10">
        <v>39</v>
      </c>
    </row>
    <row r="11" spans="1:13">
      <c r="A11" t="s">
        <v>7</v>
      </c>
      <c r="B11">
        <v>61</v>
      </c>
    </row>
    <row r="12" spans="1:13">
      <c r="A12" t="s">
        <v>8</v>
      </c>
      <c r="B12">
        <v>50</v>
      </c>
      <c r="F12" s="4" t="s">
        <v>9</v>
      </c>
      <c r="G12" s="4" t="s">
        <v>10</v>
      </c>
    </row>
    <row r="13" spans="1:13">
      <c r="A13" t="s">
        <v>11</v>
      </c>
      <c r="B13">
        <v>50</v>
      </c>
      <c r="F13" s="4" t="s">
        <v>12</v>
      </c>
      <c r="G13" t="s">
        <v>13</v>
      </c>
      <c r="H13" t="s">
        <v>14</v>
      </c>
      <c r="I13" t="s">
        <v>15</v>
      </c>
      <c r="J13" t="s">
        <v>16</v>
      </c>
      <c r="K13" t="s">
        <v>17</v>
      </c>
      <c r="L13" t="s">
        <v>18</v>
      </c>
      <c r="M13" t="s">
        <v>3</v>
      </c>
    </row>
    <row r="14" spans="1:13">
      <c r="A14" t="s">
        <v>19</v>
      </c>
      <c r="B14">
        <v>40</v>
      </c>
      <c r="F14" t="s">
        <v>13</v>
      </c>
      <c r="G14">
        <v>42</v>
      </c>
      <c r="H14">
        <v>88</v>
      </c>
      <c r="I14">
        <v>89</v>
      </c>
      <c r="J14">
        <v>77</v>
      </c>
      <c r="K14">
        <v>9</v>
      </c>
      <c r="M14">
        <v>305</v>
      </c>
    </row>
    <row r="15" spans="1:13">
      <c r="A15" t="s">
        <v>20</v>
      </c>
      <c r="B15">
        <v>50</v>
      </c>
      <c r="F15" t="s">
        <v>14</v>
      </c>
      <c r="H15">
        <v>7</v>
      </c>
      <c r="I15">
        <v>14</v>
      </c>
      <c r="J15">
        <v>16</v>
      </c>
      <c r="K15">
        <v>3</v>
      </c>
      <c r="M15">
        <v>40</v>
      </c>
    </row>
    <row r="16" spans="1:13">
      <c r="A16" t="s">
        <v>21</v>
      </c>
      <c r="B16">
        <v>24</v>
      </c>
      <c r="F16" t="s">
        <v>15</v>
      </c>
      <c r="I16">
        <v>3</v>
      </c>
      <c r="J16">
        <v>26</v>
      </c>
      <c r="K16">
        <v>2</v>
      </c>
      <c r="M16">
        <v>31</v>
      </c>
    </row>
    <row r="17" spans="1:13">
      <c r="A17" t="s">
        <v>22</v>
      </c>
      <c r="B17">
        <v>21</v>
      </c>
      <c r="F17" t="s">
        <v>16</v>
      </c>
      <c r="J17">
        <v>21</v>
      </c>
      <c r="K17">
        <v>10</v>
      </c>
      <c r="M17">
        <v>31</v>
      </c>
    </row>
    <row r="18" spans="1:13">
      <c r="A18" t="s">
        <v>23</v>
      </c>
      <c r="B18">
        <v>24</v>
      </c>
      <c r="F18" t="s">
        <v>17</v>
      </c>
      <c r="K18">
        <v>8</v>
      </c>
      <c r="L18">
        <v>1</v>
      </c>
      <c r="M18">
        <v>9</v>
      </c>
    </row>
    <row r="19" spans="1:13">
      <c r="A19" t="s">
        <v>24</v>
      </c>
      <c r="B19">
        <v>21</v>
      </c>
      <c r="F19" t="s">
        <v>3</v>
      </c>
      <c r="G19">
        <v>42</v>
      </c>
      <c r="H19">
        <v>95</v>
      </c>
      <c r="I19">
        <v>106</v>
      </c>
      <c r="J19">
        <v>140</v>
      </c>
      <c r="K19">
        <v>32</v>
      </c>
      <c r="L19">
        <v>1</v>
      </c>
      <c r="M19">
        <v>416</v>
      </c>
    </row>
    <row r="20" spans="1:13">
      <c r="A20" t="s">
        <v>25</v>
      </c>
      <c r="B20">
        <v>13</v>
      </c>
    </row>
    <row r="21" spans="1:13">
      <c r="A21" t="s">
        <v>26</v>
      </c>
      <c r="B21">
        <v>23</v>
      </c>
    </row>
    <row r="22" spans="1:13">
      <c r="A22" t="s">
        <v>3</v>
      </c>
      <c r="B22">
        <v>416</v>
      </c>
    </row>
    <row r="24" spans="1:13">
      <c r="A24" s="5"/>
      <c r="B24" s="6"/>
    </row>
    <row r="31" spans="1:13">
      <c r="A31" s="5" t="s">
        <v>27</v>
      </c>
      <c r="B31" s="6"/>
    </row>
    <row r="32" spans="1:13">
      <c r="A32" s="4" t="s">
        <v>28</v>
      </c>
      <c r="B32" t="s">
        <v>9</v>
      </c>
    </row>
    <row r="33" spans="1:2">
      <c r="A33" t="s">
        <v>29</v>
      </c>
      <c r="B33">
        <v>247</v>
      </c>
    </row>
    <row r="34" spans="1:2">
      <c r="A34" t="s">
        <v>30</v>
      </c>
      <c r="B34">
        <v>131</v>
      </c>
    </row>
    <row r="35" spans="1:2">
      <c r="A35" t="s">
        <v>31</v>
      </c>
      <c r="B35">
        <v>38</v>
      </c>
    </row>
    <row r="36" spans="1:2">
      <c r="A36" t="s">
        <v>3</v>
      </c>
      <c r="B36">
        <v>416</v>
      </c>
    </row>
    <row r="38" spans="1:2">
      <c r="A38" s="5" t="s">
        <v>32</v>
      </c>
      <c r="B38" s="6"/>
    </row>
    <row r="39" spans="1:2">
      <c r="A39" s="4" t="s">
        <v>33</v>
      </c>
      <c r="B39" t="s">
        <v>9</v>
      </c>
    </row>
    <row r="40" spans="1:2">
      <c r="A40" t="s">
        <v>34</v>
      </c>
      <c r="B40">
        <v>136</v>
      </c>
    </row>
    <row r="41" spans="1:2">
      <c r="A41" t="s">
        <v>35</v>
      </c>
      <c r="B41">
        <v>236</v>
      </c>
    </row>
    <row r="42" spans="1:2">
      <c r="A42" t="s">
        <v>36</v>
      </c>
      <c r="B42">
        <v>44</v>
      </c>
    </row>
    <row r="43" spans="1:2">
      <c r="A43" t="s">
        <v>3</v>
      </c>
      <c r="B43">
        <v>416</v>
      </c>
    </row>
    <row r="45" spans="1:2">
      <c r="A45" s="5" t="s">
        <v>37</v>
      </c>
      <c r="B45" s="6"/>
    </row>
    <row r="46" spans="1:2">
      <c r="A46" s="4" t="s">
        <v>38</v>
      </c>
      <c r="B46" t="s">
        <v>9</v>
      </c>
    </row>
    <row r="47" spans="1:2">
      <c r="A47" t="s">
        <v>39</v>
      </c>
      <c r="B47">
        <v>22</v>
      </c>
    </row>
    <row r="48" spans="1:2">
      <c r="A48" t="s">
        <v>40</v>
      </c>
      <c r="B48">
        <v>394</v>
      </c>
    </row>
    <row r="49" spans="1:8">
      <c r="A49" t="s">
        <v>3</v>
      </c>
      <c r="B49">
        <v>416</v>
      </c>
    </row>
    <row r="51" spans="1:8">
      <c r="A51" s="5" t="s">
        <v>41</v>
      </c>
      <c r="B51" s="6"/>
    </row>
    <row r="52" spans="1:8">
      <c r="A52" s="4" t="s">
        <v>42</v>
      </c>
      <c r="B52" t="s">
        <v>9</v>
      </c>
    </row>
    <row r="53" spans="1:8">
      <c r="A53" t="s">
        <v>43</v>
      </c>
      <c r="B53">
        <v>180</v>
      </c>
    </row>
    <row r="54" spans="1:8">
      <c r="A54" t="s">
        <v>44</v>
      </c>
      <c r="B54">
        <v>182</v>
      </c>
    </row>
    <row r="55" spans="1:8">
      <c r="A55" t="s">
        <v>45</v>
      </c>
      <c r="B55">
        <v>54</v>
      </c>
    </row>
    <row r="56" spans="1:8">
      <c r="A56" t="s">
        <v>3</v>
      </c>
      <c r="B56">
        <v>416</v>
      </c>
    </row>
    <row r="58" spans="1:8">
      <c r="A58" s="5" t="s">
        <v>46</v>
      </c>
      <c r="B58" s="6"/>
    </row>
    <row r="59" spans="1:8">
      <c r="A59" s="4" t="s">
        <v>42</v>
      </c>
      <c r="B59" s="4" t="s">
        <v>12</v>
      </c>
      <c r="C59" t="s">
        <v>9</v>
      </c>
    </row>
    <row r="60" spans="1:8">
      <c r="A60" t="s">
        <v>43</v>
      </c>
      <c r="B60" t="s">
        <v>17</v>
      </c>
      <c r="C60">
        <v>1</v>
      </c>
      <c r="G60" s="5" t="s">
        <v>47</v>
      </c>
      <c r="H60" s="6"/>
    </row>
    <row r="61" spans="1:8">
      <c r="A61" t="s">
        <v>48</v>
      </c>
      <c r="C61">
        <v>1</v>
      </c>
      <c r="G61" s="4" t="s">
        <v>49</v>
      </c>
      <c r="H61" t="s">
        <v>9</v>
      </c>
    </row>
    <row r="62" spans="1:8">
      <c r="A62" t="s">
        <v>44</v>
      </c>
      <c r="B62" t="s">
        <v>17</v>
      </c>
      <c r="C62">
        <v>6</v>
      </c>
      <c r="G62" t="s">
        <v>36</v>
      </c>
      <c r="H62">
        <v>229</v>
      </c>
    </row>
    <row r="63" spans="1:8">
      <c r="A63" t="s">
        <v>50</v>
      </c>
      <c r="C63">
        <v>6</v>
      </c>
      <c r="G63" t="s">
        <v>51</v>
      </c>
      <c r="H63">
        <v>24</v>
      </c>
    </row>
    <row r="64" spans="1:8">
      <c r="A64" t="s">
        <v>45</v>
      </c>
      <c r="B64" t="s">
        <v>17</v>
      </c>
      <c r="C64">
        <v>2</v>
      </c>
      <c r="G64" t="s">
        <v>52</v>
      </c>
      <c r="H64">
        <v>20</v>
      </c>
    </row>
    <row r="65" spans="1:8">
      <c r="A65" t="s">
        <v>53</v>
      </c>
      <c r="C65">
        <v>2</v>
      </c>
      <c r="G65" t="s">
        <v>54</v>
      </c>
      <c r="H65">
        <v>17</v>
      </c>
    </row>
    <row r="66" spans="1:8">
      <c r="A66" t="s">
        <v>3</v>
      </c>
      <c r="C66">
        <v>9</v>
      </c>
      <c r="G66" t="s">
        <v>55</v>
      </c>
      <c r="H66">
        <v>14</v>
      </c>
    </row>
    <row r="67" spans="1:8">
      <c r="G67" t="s">
        <v>56</v>
      </c>
      <c r="H67">
        <v>13</v>
      </c>
    </row>
    <row r="68" spans="1:8">
      <c r="G68" t="s">
        <v>57</v>
      </c>
      <c r="H68">
        <v>13</v>
      </c>
    </row>
    <row r="69" spans="1:8">
      <c r="G69" t="s">
        <v>58</v>
      </c>
      <c r="H69">
        <v>9</v>
      </c>
    </row>
    <row r="70" spans="1:8">
      <c r="G70" t="s">
        <v>59</v>
      </c>
      <c r="H70">
        <v>8</v>
      </c>
    </row>
    <row r="71" spans="1:8">
      <c r="G71" t="s">
        <v>60</v>
      </c>
      <c r="H71">
        <v>7</v>
      </c>
    </row>
    <row r="72" spans="1:8">
      <c r="G72" t="s">
        <v>61</v>
      </c>
      <c r="H72">
        <v>7</v>
      </c>
    </row>
    <row r="73" spans="1:8">
      <c r="G73" t="s">
        <v>62</v>
      </c>
      <c r="H73">
        <v>7</v>
      </c>
    </row>
    <row r="74" spans="1:8">
      <c r="G74" t="s">
        <v>63</v>
      </c>
      <c r="H74">
        <v>7</v>
      </c>
    </row>
    <row r="75" spans="1:8">
      <c r="G75" t="s">
        <v>3</v>
      </c>
      <c r="H75">
        <v>375</v>
      </c>
    </row>
  </sheetData>
  <mergeCells count="9">
    <mergeCell ref="A51:B51"/>
    <mergeCell ref="A58:B58"/>
    <mergeCell ref="G60:H60"/>
    <mergeCell ref="A2:B2"/>
    <mergeCell ref="A8:B8"/>
    <mergeCell ref="A24:B24"/>
    <mergeCell ref="A31:B31"/>
    <mergeCell ref="A38:B38"/>
    <mergeCell ref="A45:B45"/>
  </mergeCells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CE25-E30F-4382-B599-9E155D01EF3E}">
  <dimension ref="A3:H10"/>
  <sheetViews>
    <sheetView workbookViewId="0">
      <selection activeCell="A3" sqref="A3:H10"/>
    </sheetView>
  </sheetViews>
  <sheetFormatPr defaultRowHeight="15"/>
  <cols>
    <col min="1" max="1" width="22.5703125" bestFit="1" customWidth="1"/>
    <col min="2" max="2" width="26.140625" bestFit="1" customWidth="1"/>
    <col min="3" max="3" width="3.28515625" bestFit="1" customWidth="1"/>
    <col min="4" max="5" width="4.42578125" bestFit="1" customWidth="1"/>
    <col min="6" max="6" width="3.28515625" bestFit="1" customWidth="1"/>
    <col min="7" max="7" width="3" bestFit="1" customWidth="1"/>
    <col min="8" max="8" width="11.7109375" bestFit="1" customWidth="1"/>
  </cols>
  <sheetData>
    <row r="3" spans="1:8">
      <c r="A3" s="4" t="s">
        <v>9</v>
      </c>
      <c r="B3" s="4" t="s">
        <v>10</v>
      </c>
    </row>
    <row r="4" spans="1:8">
      <c r="A4" s="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3</v>
      </c>
    </row>
    <row r="5" spans="1:8">
      <c r="A5" t="s">
        <v>13</v>
      </c>
      <c r="B5">
        <v>42</v>
      </c>
      <c r="C5">
        <v>88</v>
      </c>
      <c r="D5">
        <v>89</v>
      </c>
      <c r="E5">
        <v>77</v>
      </c>
      <c r="F5">
        <v>9</v>
      </c>
      <c r="H5">
        <v>305</v>
      </c>
    </row>
    <row r="6" spans="1:8">
      <c r="A6" t="s">
        <v>14</v>
      </c>
      <c r="C6">
        <v>7</v>
      </c>
      <c r="D6">
        <v>14</v>
      </c>
      <c r="E6">
        <v>16</v>
      </c>
      <c r="F6">
        <v>3</v>
      </c>
      <c r="H6">
        <v>40</v>
      </c>
    </row>
    <row r="7" spans="1:8">
      <c r="A7" t="s">
        <v>15</v>
      </c>
      <c r="D7">
        <v>3</v>
      </c>
      <c r="E7">
        <v>26</v>
      </c>
      <c r="F7">
        <v>2</v>
      </c>
      <c r="H7">
        <v>31</v>
      </c>
    </row>
    <row r="8" spans="1:8">
      <c r="A8" t="s">
        <v>16</v>
      </c>
      <c r="E8">
        <v>21</v>
      </c>
      <c r="F8">
        <v>10</v>
      </c>
      <c r="H8">
        <v>31</v>
      </c>
    </row>
    <row r="9" spans="1:8">
      <c r="A9" t="s">
        <v>17</v>
      </c>
      <c r="F9">
        <v>8</v>
      </c>
      <c r="G9">
        <v>1</v>
      </c>
      <c r="H9">
        <v>9</v>
      </c>
    </row>
    <row r="10" spans="1:8">
      <c r="A10" t="s">
        <v>3</v>
      </c>
      <c r="B10">
        <v>42</v>
      </c>
      <c r="C10">
        <v>95</v>
      </c>
      <c r="D10">
        <v>106</v>
      </c>
      <c r="E10">
        <v>140</v>
      </c>
      <c r="F10">
        <v>32</v>
      </c>
      <c r="G10">
        <v>1</v>
      </c>
      <c r="H10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7"/>
  <sheetViews>
    <sheetView workbookViewId="0">
      <selection activeCell="B3" sqref="B3"/>
    </sheetView>
  </sheetViews>
  <sheetFormatPr defaultRowHeight="15"/>
  <cols>
    <col min="1" max="1" width="19.5703125" style="2" bestFit="1" customWidth="1"/>
    <col min="2" max="2" width="12" style="2" bestFit="1" customWidth="1"/>
    <col min="3" max="3" width="9.140625" style="2"/>
    <col min="4" max="4" width="17.140625" style="2" bestFit="1" customWidth="1"/>
    <col min="5" max="5" width="16.42578125" style="2" bestFit="1" customWidth="1"/>
    <col min="6" max="6" width="25.28515625" style="2" bestFit="1" customWidth="1"/>
    <col min="7" max="7" width="9.140625" style="2"/>
    <col min="8" max="8" width="25.42578125" style="2" bestFit="1" customWidth="1"/>
    <col min="9" max="9" width="30.7109375" style="2" bestFit="1" customWidth="1"/>
    <col min="10" max="16384" width="9.140625" style="2"/>
  </cols>
  <sheetData>
    <row r="1" spans="1:11">
      <c r="A1" s="1" t="s">
        <v>64</v>
      </c>
      <c r="B1" s="1" t="s">
        <v>28</v>
      </c>
      <c r="C1" s="1" t="s">
        <v>65</v>
      </c>
      <c r="D1" s="1" t="s">
        <v>33</v>
      </c>
      <c r="E1" s="1" t="s">
        <v>12</v>
      </c>
      <c r="F1" s="1" t="s">
        <v>10</v>
      </c>
      <c r="G1" s="1" t="s">
        <v>38</v>
      </c>
      <c r="H1" s="1" t="s">
        <v>42</v>
      </c>
      <c r="I1" s="1" t="s">
        <v>49</v>
      </c>
      <c r="J1" s="1" t="s">
        <v>1</v>
      </c>
      <c r="K1" s="1" t="s">
        <v>5</v>
      </c>
    </row>
    <row r="2" spans="1:11">
      <c r="A2" s="3">
        <v>42370</v>
      </c>
      <c r="B2" s="2" t="s">
        <v>29</v>
      </c>
      <c r="C2" s="2" t="s">
        <v>66</v>
      </c>
      <c r="D2" s="2" t="s">
        <v>35</v>
      </c>
      <c r="E2" s="2" t="s">
        <v>13</v>
      </c>
      <c r="F2" s="2" t="s">
        <v>16</v>
      </c>
      <c r="G2" s="2" t="s">
        <v>40</v>
      </c>
      <c r="H2" s="2" t="s">
        <v>44</v>
      </c>
      <c r="I2" s="2" t="s">
        <v>51</v>
      </c>
      <c r="J2" s="2">
        <f>YEAR(Table1[[#This Row],[Data]])</f>
        <v>2016</v>
      </c>
      <c r="K2" s="2" t="str">
        <f>TEXT(Table1[[#This Row],[Data]],"mm")</f>
        <v>01</v>
      </c>
    </row>
    <row r="3" spans="1:11">
      <c r="A3" s="3">
        <v>42371</v>
      </c>
      <c r="B3" s="2" t="s">
        <v>30</v>
      </c>
      <c r="C3" s="2" t="s">
        <v>67</v>
      </c>
      <c r="D3" s="2" t="s">
        <v>35</v>
      </c>
      <c r="E3" s="2" t="s">
        <v>13</v>
      </c>
      <c r="F3" s="2" t="s">
        <v>16</v>
      </c>
      <c r="G3" s="2" t="s">
        <v>40</v>
      </c>
      <c r="H3" s="2" t="s">
        <v>43</v>
      </c>
      <c r="I3" s="2" t="s">
        <v>61</v>
      </c>
      <c r="J3" s="2">
        <f>YEAR(Table1[[#This Row],[Data]])</f>
        <v>2016</v>
      </c>
      <c r="K3" s="2" t="str">
        <f>TEXT(Table1[[#This Row],[Data]],"mm")</f>
        <v>01</v>
      </c>
    </row>
    <row r="4" spans="1:11">
      <c r="A4" s="3">
        <v>42375</v>
      </c>
      <c r="B4" s="2" t="s">
        <v>29</v>
      </c>
      <c r="C4" s="2" t="s">
        <v>68</v>
      </c>
      <c r="D4" s="2" t="s">
        <v>35</v>
      </c>
      <c r="E4" s="2" t="s">
        <v>13</v>
      </c>
      <c r="F4" s="2" t="s">
        <v>15</v>
      </c>
      <c r="G4" s="2" t="s">
        <v>40</v>
      </c>
      <c r="H4" s="2" t="s">
        <v>45</v>
      </c>
      <c r="I4" s="2" t="s">
        <v>52</v>
      </c>
      <c r="J4" s="2">
        <f>YEAR(Table1[[#This Row],[Data]])</f>
        <v>2016</v>
      </c>
      <c r="K4" s="2" t="str">
        <f>TEXT(Table1[[#This Row],[Data]],"mm")</f>
        <v>01</v>
      </c>
    </row>
    <row r="5" spans="1:11">
      <c r="A5" s="3">
        <v>42377</v>
      </c>
      <c r="B5" s="2" t="s">
        <v>29</v>
      </c>
      <c r="C5" s="2" t="s">
        <v>69</v>
      </c>
      <c r="D5" s="2" t="s">
        <v>35</v>
      </c>
      <c r="E5" s="2" t="s">
        <v>13</v>
      </c>
      <c r="F5" s="2" t="s">
        <v>13</v>
      </c>
      <c r="G5" s="2" t="s">
        <v>40</v>
      </c>
      <c r="H5" s="2" t="s">
        <v>44</v>
      </c>
      <c r="I5" s="2" t="s">
        <v>36</v>
      </c>
      <c r="J5" s="2">
        <f>YEAR(Table1[[#This Row],[Data]])</f>
        <v>2016</v>
      </c>
      <c r="K5" s="2" t="str">
        <f>TEXT(Table1[[#This Row],[Data]],"mm")</f>
        <v>01</v>
      </c>
    </row>
    <row r="6" spans="1:11">
      <c r="A6" s="3">
        <v>42379</v>
      </c>
      <c r="B6" s="2" t="s">
        <v>29</v>
      </c>
      <c r="C6" s="2" t="s">
        <v>69</v>
      </c>
      <c r="D6" s="2" t="s">
        <v>35</v>
      </c>
      <c r="E6" s="2" t="s">
        <v>16</v>
      </c>
      <c r="F6" s="2" t="s">
        <v>16</v>
      </c>
      <c r="G6" s="2" t="s">
        <v>40</v>
      </c>
      <c r="H6" s="2" t="s">
        <v>44</v>
      </c>
      <c r="I6" s="2" t="s">
        <v>36</v>
      </c>
      <c r="J6" s="2">
        <f>YEAR(Table1[[#This Row],[Data]])</f>
        <v>2016</v>
      </c>
      <c r="K6" s="2" t="str">
        <f>TEXT(Table1[[#This Row],[Data]],"mm")</f>
        <v>01</v>
      </c>
    </row>
    <row r="7" spans="1:11">
      <c r="A7" s="3">
        <v>42381</v>
      </c>
      <c r="B7" s="2" t="s">
        <v>30</v>
      </c>
      <c r="C7" s="2" t="s">
        <v>70</v>
      </c>
      <c r="D7" s="2" t="s">
        <v>34</v>
      </c>
      <c r="E7" s="2" t="s">
        <v>13</v>
      </c>
      <c r="F7" s="2" t="s">
        <v>15</v>
      </c>
      <c r="G7" s="2" t="s">
        <v>40</v>
      </c>
      <c r="H7" s="2" t="s">
        <v>45</v>
      </c>
      <c r="I7" s="2" t="s">
        <v>61</v>
      </c>
      <c r="J7" s="2">
        <f>YEAR(Table1[[#This Row],[Data]])</f>
        <v>2016</v>
      </c>
      <c r="K7" s="2" t="str">
        <f>TEXT(Table1[[#This Row],[Data]],"mm")</f>
        <v>01</v>
      </c>
    </row>
    <row r="8" spans="1:11">
      <c r="A8" s="3">
        <v>42385</v>
      </c>
      <c r="B8" s="2" t="s">
        <v>30</v>
      </c>
      <c r="C8" s="2" t="s">
        <v>70</v>
      </c>
      <c r="D8" s="2" t="s">
        <v>34</v>
      </c>
      <c r="E8" s="2" t="s">
        <v>13</v>
      </c>
      <c r="F8" s="2" t="s">
        <v>15</v>
      </c>
      <c r="G8" s="2" t="s">
        <v>40</v>
      </c>
      <c r="H8" s="2" t="s">
        <v>43</v>
      </c>
      <c r="I8" s="2" t="s">
        <v>62</v>
      </c>
      <c r="J8" s="2">
        <f>YEAR(Table1[[#This Row],[Data]])</f>
        <v>2016</v>
      </c>
      <c r="K8" s="2" t="str">
        <f>TEXT(Table1[[#This Row],[Data]],"mm")</f>
        <v>01</v>
      </c>
    </row>
    <row r="9" spans="1:11">
      <c r="A9" s="3">
        <v>42386</v>
      </c>
      <c r="B9" s="2" t="s">
        <v>29</v>
      </c>
      <c r="C9" s="2" t="s">
        <v>69</v>
      </c>
      <c r="D9" s="2" t="s">
        <v>35</v>
      </c>
      <c r="E9" s="2" t="s">
        <v>13</v>
      </c>
      <c r="F9" s="2" t="s">
        <v>15</v>
      </c>
      <c r="G9" s="2" t="s">
        <v>40</v>
      </c>
      <c r="H9" s="2" t="s">
        <v>44</v>
      </c>
      <c r="I9" s="2" t="s">
        <v>51</v>
      </c>
      <c r="J9" s="2">
        <f>YEAR(Table1[[#This Row],[Data]])</f>
        <v>2016</v>
      </c>
      <c r="K9" s="2" t="str">
        <f>TEXT(Table1[[#This Row],[Data]],"mm")</f>
        <v>01</v>
      </c>
    </row>
    <row r="10" spans="1:11">
      <c r="A10" s="3">
        <v>42388</v>
      </c>
      <c r="B10" s="2" t="s">
        <v>30</v>
      </c>
      <c r="C10" s="2" t="s">
        <v>67</v>
      </c>
      <c r="D10" s="2" t="s">
        <v>35</v>
      </c>
      <c r="E10" s="2" t="s">
        <v>13</v>
      </c>
      <c r="F10" s="2" t="s">
        <v>16</v>
      </c>
      <c r="G10" s="2" t="s">
        <v>40</v>
      </c>
      <c r="H10" s="2" t="s">
        <v>45</v>
      </c>
      <c r="I10" s="2" t="s">
        <v>36</v>
      </c>
      <c r="J10" s="2">
        <f>YEAR(Table1[[#This Row],[Data]])</f>
        <v>2016</v>
      </c>
      <c r="K10" s="2" t="str">
        <f>TEXT(Table1[[#This Row],[Data]],"mm")</f>
        <v>01</v>
      </c>
    </row>
    <row r="11" spans="1:11">
      <c r="A11" s="3">
        <v>42395</v>
      </c>
      <c r="B11" s="2" t="s">
        <v>29</v>
      </c>
      <c r="C11" s="2" t="s">
        <v>71</v>
      </c>
      <c r="D11" s="2" t="s">
        <v>34</v>
      </c>
      <c r="E11" s="2" t="s">
        <v>13</v>
      </c>
      <c r="F11" s="2" t="s">
        <v>14</v>
      </c>
      <c r="G11" s="2" t="s">
        <v>40</v>
      </c>
      <c r="H11" s="2" t="s">
        <v>44</v>
      </c>
      <c r="I11" s="2" t="s">
        <v>54</v>
      </c>
      <c r="J11" s="2">
        <f>YEAR(Table1[[#This Row],[Data]])</f>
        <v>2016</v>
      </c>
      <c r="K11" s="2" t="str">
        <f>TEXT(Table1[[#This Row],[Data]],"mm")</f>
        <v>01</v>
      </c>
    </row>
    <row r="12" spans="1:11">
      <c r="A12" s="3">
        <v>42397</v>
      </c>
      <c r="B12" s="2" t="s">
        <v>29</v>
      </c>
      <c r="C12" s="2" t="s">
        <v>68</v>
      </c>
      <c r="D12" s="2" t="s">
        <v>35</v>
      </c>
      <c r="E12" s="2" t="s">
        <v>13</v>
      </c>
      <c r="F12" s="2" t="s">
        <v>15</v>
      </c>
      <c r="G12" s="2" t="s">
        <v>40</v>
      </c>
      <c r="H12" s="2" t="s">
        <v>43</v>
      </c>
      <c r="I12" s="2" t="s">
        <v>36</v>
      </c>
      <c r="J12" s="2">
        <f>YEAR(Table1[[#This Row],[Data]])</f>
        <v>2016</v>
      </c>
      <c r="K12" s="2" t="str">
        <f>TEXT(Table1[[#This Row],[Data]],"mm")</f>
        <v>01</v>
      </c>
    </row>
    <row r="13" spans="1:11">
      <c r="A13" s="3">
        <v>42399</v>
      </c>
      <c r="B13" s="2" t="s">
        <v>29</v>
      </c>
      <c r="C13" s="2" t="s">
        <v>68</v>
      </c>
      <c r="D13" s="2" t="s">
        <v>35</v>
      </c>
      <c r="E13" s="2" t="s">
        <v>13</v>
      </c>
      <c r="F13" s="2" t="s">
        <v>16</v>
      </c>
      <c r="G13" s="2" t="s">
        <v>40</v>
      </c>
      <c r="H13" s="2" t="s">
        <v>44</v>
      </c>
      <c r="I13" s="2" t="s">
        <v>36</v>
      </c>
      <c r="J13" s="2">
        <f>YEAR(Table1[[#This Row],[Data]])</f>
        <v>2016</v>
      </c>
      <c r="K13" s="2" t="str">
        <f>TEXT(Table1[[#This Row],[Data]],"mm")</f>
        <v>01</v>
      </c>
    </row>
    <row r="14" spans="1:11">
      <c r="A14" s="3">
        <v>42401</v>
      </c>
      <c r="B14" s="2" t="s">
        <v>30</v>
      </c>
      <c r="C14" s="2" t="s">
        <v>70</v>
      </c>
      <c r="D14" s="2" t="s">
        <v>34</v>
      </c>
      <c r="E14" s="2" t="s">
        <v>13</v>
      </c>
      <c r="F14" s="2" t="s">
        <v>13</v>
      </c>
      <c r="G14" s="2" t="s">
        <v>40</v>
      </c>
      <c r="H14" s="2" t="s">
        <v>43</v>
      </c>
      <c r="I14" s="2" t="s">
        <v>72</v>
      </c>
      <c r="J14" s="2">
        <f>YEAR(Table1[[#This Row],[Data]])</f>
        <v>2016</v>
      </c>
      <c r="K14" s="2" t="str">
        <f>TEXT(Table1[[#This Row],[Data]],"mm")</f>
        <v>02</v>
      </c>
    </row>
    <row r="15" spans="1:11">
      <c r="A15" s="3">
        <v>42402</v>
      </c>
      <c r="B15" s="2" t="s">
        <v>29</v>
      </c>
      <c r="C15" s="2" t="s">
        <v>66</v>
      </c>
      <c r="D15" s="2" t="s">
        <v>35</v>
      </c>
      <c r="E15" s="2" t="s">
        <v>16</v>
      </c>
      <c r="F15" s="2" t="s">
        <v>17</v>
      </c>
      <c r="G15" s="2" t="s">
        <v>40</v>
      </c>
      <c r="H15" s="2" t="s">
        <v>44</v>
      </c>
      <c r="I15" s="2" t="s">
        <v>73</v>
      </c>
      <c r="J15" s="2">
        <f>YEAR(Table1[[#This Row],[Data]])</f>
        <v>2016</v>
      </c>
      <c r="K15" s="2" t="str">
        <f>TEXT(Table1[[#This Row],[Data]],"mm")</f>
        <v>02</v>
      </c>
    </row>
    <row r="16" spans="1:11">
      <c r="A16" s="3">
        <v>42404</v>
      </c>
      <c r="B16" s="2" t="s">
        <v>30</v>
      </c>
      <c r="C16" s="2" t="s">
        <v>70</v>
      </c>
      <c r="D16" s="2" t="s">
        <v>34</v>
      </c>
      <c r="E16" s="2" t="s">
        <v>13</v>
      </c>
      <c r="F16" s="2" t="s">
        <v>15</v>
      </c>
      <c r="G16" s="2" t="s">
        <v>40</v>
      </c>
      <c r="H16" s="2" t="s">
        <v>43</v>
      </c>
      <c r="I16" s="2" t="s">
        <v>74</v>
      </c>
      <c r="J16" s="2">
        <f>YEAR(Table1[[#This Row],[Data]])</f>
        <v>2016</v>
      </c>
      <c r="K16" s="2" t="str">
        <f>TEXT(Table1[[#This Row],[Data]],"mm")</f>
        <v>02</v>
      </c>
    </row>
    <row r="17" spans="1:11">
      <c r="A17" s="3">
        <v>42404</v>
      </c>
      <c r="B17" s="2" t="s">
        <v>30</v>
      </c>
      <c r="C17" s="2" t="s">
        <v>70</v>
      </c>
      <c r="D17" s="2" t="s">
        <v>34</v>
      </c>
      <c r="E17" s="2" t="s">
        <v>13</v>
      </c>
      <c r="F17" s="2" t="s">
        <v>16</v>
      </c>
      <c r="G17" s="2" t="s">
        <v>40</v>
      </c>
      <c r="H17" s="2" t="s">
        <v>43</v>
      </c>
      <c r="I17" s="2" t="s">
        <v>72</v>
      </c>
      <c r="J17" s="2">
        <f>YEAR(Table1[[#This Row],[Data]])</f>
        <v>2016</v>
      </c>
      <c r="K17" s="2" t="str">
        <f>TEXT(Table1[[#This Row],[Data]],"mm")</f>
        <v>02</v>
      </c>
    </row>
    <row r="18" spans="1:11">
      <c r="A18" s="3">
        <v>42406</v>
      </c>
      <c r="B18" s="2" t="s">
        <v>29</v>
      </c>
      <c r="C18" s="2" t="s">
        <v>69</v>
      </c>
      <c r="D18" s="2" t="s">
        <v>35</v>
      </c>
      <c r="E18" s="2" t="s">
        <v>15</v>
      </c>
      <c r="F18" s="2" t="s">
        <v>16</v>
      </c>
      <c r="G18" s="2" t="s">
        <v>40</v>
      </c>
      <c r="H18" s="2" t="s">
        <v>44</v>
      </c>
      <c r="I18" s="2" t="s">
        <v>36</v>
      </c>
      <c r="J18" s="2">
        <f>YEAR(Table1[[#This Row],[Data]])</f>
        <v>2016</v>
      </c>
      <c r="K18" s="2" t="str">
        <f>TEXT(Table1[[#This Row],[Data]],"mm")</f>
        <v>02</v>
      </c>
    </row>
    <row r="19" spans="1:11">
      <c r="A19" s="3">
        <v>42407</v>
      </c>
      <c r="B19" s="2" t="s">
        <v>29</v>
      </c>
      <c r="C19" s="2" t="s">
        <v>71</v>
      </c>
      <c r="D19" s="2" t="s">
        <v>34</v>
      </c>
      <c r="E19" s="2" t="s">
        <v>13</v>
      </c>
      <c r="F19" s="2" t="s">
        <v>14</v>
      </c>
      <c r="G19" s="2" t="s">
        <v>39</v>
      </c>
      <c r="H19" s="2" t="s">
        <v>44</v>
      </c>
      <c r="I19" s="2" t="s">
        <v>36</v>
      </c>
      <c r="J19" s="2">
        <f>YEAR(Table1[[#This Row],[Data]])</f>
        <v>2016</v>
      </c>
      <c r="K19" s="2" t="str">
        <f>TEXT(Table1[[#This Row],[Data]],"mm")</f>
        <v>02</v>
      </c>
    </row>
    <row r="20" spans="1:11">
      <c r="A20" s="3">
        <v>42408</v>
      </c>
      <c r="B20" s="2" t="s">
        <v>29</v>
      </c>
      <c r="C20" s="2" t="s">
        <v>71</v>
      </c>
      <c r="D20" s="2" t="s">
        <v>34</v>
      </c>
      <c r="E20" s="2" t="s">
        <v>13</v>
      </c>
      <c r="F20" s="2" t="s">
        <v>14</v>
      </c>
      <c r="G20" s="2" t="s">
        <v>40</v>
      </c>
      <c r="H20" s="2" t="s">
        <v>43</v>
      </c>
      <c r="I20" s="2" t="s">
        <v>36</v>
      </c>
      <c r="J20" s="2">
        <f>YEAR(Table1[[#This Row],[Data]])</f>
        <v>2016</v>
      </c>
      <c r="K20" s="2" t="str">
        <f>TEXT(Table1[[#This Row],[Data]],"mm")</f>
        <v>02</v>
      </c>
    </row>
    <row r="21" spans="1:11">
      <c r="A21" s="3">
        <v>42421</v>
      </c>
      <c r="B21" s="2" t="s">
        <v>29</v>
      </c>
      <c r="C21" s="2" t="s">
        <v>71</v>
      </c>
      <c r="D21" s="2" t="s">
        <v>34</v>
      </c>
      <c r="E21" s="2" t="s">
        <v>13</v>
      </c>
      <c r="F21" s="2" t="s">
        <v>15</v>
      </c>
      <c r="G21" s="2" t="s">
        <v>40</v>
      </c>
      <c r="H21" s="2" t="s">
        <v>43</v>
      </c>
      <c r="I21" s="2" t="s">
        <v>36</v>
      </c>
      <c r="J21" s="2">
        <f>YEAR(Table1[[#This Row],[Data]])</f>
        <v>2016</v>
      </c>
      <c r="K21" s="2" t="str">
        <f>TEXT(Table1[[#This Row],[Data]],"mm")</f>
        <v>02</v>
      </c>
    </row>
    <row r="22" spans="1:11">
      <c r="A22" s="3">
        <v>42425</v>
      </c>
      <c r="B22" s="2" t="s">
        <v>29</v>
      </c>
      <c r="C22" s="2" t="s">
        <v>71</v>
      </c>
      <c r="D22" s="2" t="s">
        <v>34</v>
      </c>
      <c r="E22" s="2" t="s">
        <v>13</v>
      </c>
      <c r="F22" s="2" t="s">
        <v>14</v>
      </c>
      <c r="G22" s="2" t="s">
        <v>40</v>
      </c>
      <c r="H22" s="2" t="s">
        <v>44</v>
      </c>
      <c r="I22" s="2" t="s">
        <v>36</v>
      </c>
      <c r="J22" s="2">
        <f>YEAR(Table1[[#This Row],[Data]])</f>
        <v>2016</v>
      </c>
      <c r="K22" s="2" t="str">
        <f>TEXT(Table1[[#This Row],[Data]],"mm")</f>
        <v>02</v>
      </c>
    </row>
    <row r="23" spans="1:11">
      <c r="A23" s="3">
        <v>42409</v>
      </c>
      <c r="B23" s="2" t="s">
        <v>29</v>
      </c>
      <c r="C23" s="2" t="s">
        <v>68</v>
      </c>
      <c r="D23" s="2" t="s">
        <v>35</v>
      </c>
      <c r="E23" s="2" t="s">
        <v>13</v>
      </c>
      <c r="F23" s="2" t="s">
        <v>16</v>
      </c>
      <c r="G23" s="2" t="s">
        <v>40</v>
      </c>
      <c r="H23" s="2" t="s">
        <v>44</v>
      </c>
      <c r="I23" s="2" t="s">
        <v>36</v>
      </c>
      <c r="J23" s="2">
        <f>YEAR(Table1[[#This Row],[Data]])</f>
        <v>2016</v>
      </c>
      <c r="K23" s="2" t="str">
        <f>TEXT(Table1[[#This Row],[Data]],"mm")</f>
        <v>02</v>
      </c>
    </row>
    <row r="24" spans="1:11">
      <c r="A24" s="3">
        <v>42410</v>
      </c>
      <c r="B24" s="2" t="s">
        <v>29</v>
      </c>
      <c r="C24" s="2" t="s">
        <v>68</v>
      </c>
      <c r="D24" s="2" t="s">
        <v>35</v>
      </c>
      <c r="E24" s="2" t="s">
        <v>14</v>
      </c>
      <c r="F24" s="2" t="s">
        <v>16</v>
      </c>
      <c r="G24" s="2" t="s">
        <v>40</v>
      </c>
      <c r="H24" s="2" t="s">
        <v>44</v>
      </c>
      <c r="I24" s="2" t="s">
        <v>36</v>
      </c>
      <c r="J24" s="2">
        <f>YEAR(Table1[[#This Row],[Data]])</f>
        <v>2016</v>
      </c>
      <c r="K24" s="2" t="str">
        <f>TEXT(Table1[[#This Row],[Data]],"mm")</f>
        <v>02</v>
      </c>
    </row>
    <row r="25" spans="1:11">
      <c r="A25" s="3">
        <v>42415</v>
      </c>
      <c r="B25" s="2" t="s">
        <v>30</v>
      </c>
      <c r="C25" s="2" t="s">
        <v>67</v>
      </c>
      <c r="D25" s="2" t="s">
        <v>35</v>
      </c>
      <c r="E25" s="2" t="s">
        <v>14</v>
      </c>
      <c r="F25" s="2" t="s">
        <v>14</v>
      </c>
      <c r="G25" s="2" t="s">
        <v>40</v>
      </c>
      <c r="H25" s="2" t="s">
        <v>45</v>
      </c>
      <c r="I25" s="2" t="s">
        <v>36</v>
      </c>
      <c r="J25" s="2">
        <f>YEAR(Table1[[#This Row],[Data]])</f>
        <v>2016</v>
      </c>
      <c r="K25" s="2" t="str">
        <f>TEXT(Table1[[#This Row],[Data]],"mm")</f>
        <v>02</v>
      </c>
    </row>
    <row r="26" spans="1:11">
      <c r="A26" s="3">
        <v>42414</v>
      </c>
      <c r="B26" s="2" t="s">
        <v>29</v>
      </c>
      <c r="C26" s="2" t="s">
        <v>71</v>
      </c>
      <c r="D26" s="2" t="s">
        <v>34</v>
      </c>
      <c r="E26" s="2" t="s">
        <v>13</v>
      </c>
      <c r="F26" s="2" t="s">
        <v>14</v>
      </c>
      <c r="G26" s="2" t="s">
        <v>40</v>
      </c>
      <c r="H26" s="2" t="s">
        <v>44</v>
      </c>
      <c r="I26" s="2" t="s">
        <v>36</v>
      </c>
      <c r="J26" s="2">
        <f>YEAR(Table1[[#This Row],[Data]])</f>
        <v>2016</v>
      </c>
      <c r="K26" s="2" t="str">
        <f>TEXT(Table1[[#This Row],[Data]],"mm")</f>
        <v>02</v>
      </c>
    </row>
    <row r="27" spans="1:11">
      <c r="A27" s="3">
        <v>42415</v>
      </c>
      <c r="B27" s="2" t="s">
        <v>29</v>
      </c>
      <c r="C27" s="2" t="s">
        <v>71</v>
      </c>
      <c r="D27" s="2" t="s">
        <v>34</v>
      </c>
      <c r="E27" s="2" t="s">
        <v>13</v>
      </c>
      <c r="F27" s="2" t="s">
        <v>14</v>
      </c>
      <c r="G27" s="2" t="s">
        <v>40</v>
      </c>
      <c r="H27" s="2" t="s">
        <v>43</v>
      </c>
      <c r="I27" s="2" t="s">
        <v>52</v>
      </c>
      <c r="J27" s="2">
        <f>YEAR(Table1[[#This Row],[Data]])</f>
        <v>2016</v>
      </c>
      <c r="K27" s="2" t="str">
        <f>TEXT(Table1[[#This Row],[Data]],"mm")</f>
        <v>02</v>
      </c>
    </row>
    <row r="28" spans="1:11">
      <c r="A28" s="3">
        <v>42413</v>
      </c>
      <c r="B28" s="2" t="s">
        <v>29</v>
      </c>
      <c r="C28" s="2" t="s">
        <v>66</v>
      </c>
      <c r="D28" s="2" t="s">
        <v>35</v>
      </c>
      <c r="E28" s="2" t="s">
        <v>13</v>
      </c>
      <c r="F28" s="2" t="s">
        <v>13</v>
      </c>
      <c r="G28" s="2" t="s">
        <v>40</v>
      </c>
      <c r="H28" s="2" t="s">
        <v>43</v>
      </c>
      <c r="I28" s="2" t="s">
        <v>36</v>
      </c>
      <c r="J28" s="2">
        <f>YEAR(Table1[[#This Row],[Data]])</f>
        <v>2016</v>
      </c>
      <c r="K28" s="2" t="str">
        <f>TEXT(Table1[[#This Row],[Data]],"mm")</f>
        <v>02</v>
      </c>
    </row>
    <row r="29" spans="1:11">
      <c r="A29" s="3">
        <v>42415</v>
      </c>
      <c r="B29" s="2" t="s">
        <v>29</v>
      </c>
      <c r="C29" s="2" t="s">
        <v>68</v>
      </c>
      <c r="D29" s="2" t="s">
        <v>35</v>
      </c>
      <c r="E29" s="2" t="s">
        <v>13</v>
      </c>
      <c r="F29" s="2" t="s">
        <v>15</v>
      </c>
      <c r="G29" s="2" t="s">
        <v>40</v>
      </c>
      <c r="H29" s="2" t="s">
        <v>44</v>
      </c>
      <c r="I29" s="2" t="s">
        <v>36</v>
      </c>
      <c r="J29" s="2">
        <f>YEAR(Table1[[#This Row],[Data]])</f>
        <v>2016</v>
      </c>
      <c r="K29" s="2" t="str">
        <f>TEXT(Table1[[#This Row],[Data]],"mm")</f>
        <v>02</v>
      </c>
    </row>
    <row r="30" spans="1:11">
      <c r="A30" s="3">
        <v>42416</v>
      </c>
      <c r="B30" s="2" t="s">
        <v>29</v>
      </c>
      <c r="C30" s="2" t="s">
        <v>66</v>
      </c>
      <c r="D30" s="2" t="s">
        <v>35</v>
      </c>
      <c r="E30" s="2" t="s">
        <v>13</v>
      </c>
      <c r="F30" s="2" t="s">
        <v>16</v>
      </c>
      <c r="G30" s="2" t="s">
        <v>40</v>
      </c>
      <c r="H30" s="2" t="s">
        <v>43</v>
      </c>
      <c r="I30" s="2" t="s">
        <v>36</v>
      </c>
      <c r="J30" s="2">
        <f>YEAR(Table1[[#This Row],[Data]])</f>
        <v>2016</v>
      </c>
      <c r="K30" s="2" t="str">
        <f>TEXT(Table1[[#This Row],[Data]],"mm")</f>
        <v>02</v>
      </c>
    </row>
    <row r="31" spans="1:11">
      <c r="A31" s="3">
        <v>42416</v>
      </c>
      <c r="B31" s="2" t="s">
        <v>30</v>
      </c>
      <c r="C31" s="2" t="s">
        <v>75</v>
      </c>
      <c r="D31" s="2" t="s">
        <v>35</v>
      </c>
      <c r="E31" s="2" t="s">
        <v>14</v>
      </c>
      <c r="F31" s="2" t="s">
        <v>15</v>
      </c>
      <c r="G31" s="2" t="s">
        <v>40</v>
      </c>
      <c r="H31" s="2" t="s">
        <v>43</v>
      </c>
      <c r="I31" s="2" t="s">
        <v>36</v>
      </c>
      <c r="J31" s="2">
        <f>YEAR(Table1[[#This Row],[Data]])</f>
        <v>2016</v>
      </c>
      <c r="K31" s="2" t="str">
        <f>TEXT(Table1[[#This Row],[Data]],"mm")</f>
        <v>02</v>
      </c>
    </row>
    <row r="32" spans="1:11">
      <c r="A32" s="3">
        <v>42417</v>
      </c>
      <c r="B32" s="2" t="s">
        <v>29</v>
      </c>
      <c r="C32" s="2" t="s">
        <v>68</v>
      </c>
      <c r="D32" s="2" t="s">
        <v>35</v>
      </c>
      <c r="E32" s="2" t="s">
        <v>13</v>
      </c>
      <c r="F32" s="2" t="s">
        <v>14</v>
      </c>
      <c r="G32" s="2" t="s">
        <v>40</v>
      </c>
      <c r="H32" s="2" t="s">
        <v>43</v>
      </c>
      <c r="I32" s="2" t="s">
        <v>36</v>
      </c>
      <c r="J32" s="2">
        <f>YEAR(Table1[[#This Row],[Data]])</f>
        <v>2016</v>
      </c>
      <c r="K32" s="2" t="str">
        <f>TEXT(Table1[[#This Row],[Data]],"mm")</f>
        <v>02</v>
      </c>
    </row>
    <row r="33" spans="1:11">
      <c r="A33" s="3">
        <v>42419</v>
      </c>
      <c r="B33" s="2" t="s">
        <v>29</v>
      </c>
      <c r="C33" s="2" t="s">
        <v>68</v>
      </c>
      <c r="D33" s="2" t="s">
        <v>35</v>
      </c>
      <c r="E33" s="2" t="s">
        <v>13</v>
      </c>
      <c r="F33" s="2" t="s">
        <v>14</v>
      </c>
      <c r="G33" s="2" t="s">
        <v>40</v>
      </c>
      <c r="H33" s="2" t="s">
        <v>43</v>
      </c>
      <c r="I33" s="2" t="s">
        <v>36</v>
      </c>
      <c r="J33" s="2">
        <f>YEAR(Table1[[#This Row],[Data]])</f>
        <v>2016</v>
      </c>
      <c r="K33" s="2" t="str">
        <f>TEXT(Table1[[#This Row],[Data]],"mm")</f>
        <v>02</v>
      </c>
    </row>
    <row r="34" spans="1:11">
      <c r="A34" s="3">
        <v>42421</v>
      </c>
      <c r="B34" s="2" t="s">
        <v>29</v>
      </c>
      <c r="C34" s="2" t="s">
        <v>66</v>
      </c>
      <c r="D34" s="2" t="s">
        <v>35</v>
      </c>
      <c r="E34" s="2" t="s">
        <v>15</v>
      </c>
      <c r="F34" s="2" t="s">
        <v>16</v>
      </c>
      <c r="G34" s="2" t="s">
        <v>40</v>
      </c>
      <c r="H34" s="2" t="s">
        <v>44</v>
      </c>
      <c r="I34" s="2" t="s">
        <v>36</v>
      </c>
      <c r="J34" s="2">
        <f>YEAR(Table1[[#This Row],[Data]])</f>
        <v>2016</v>
      </c>
      <c r="K34" s="2" t="str">
        <f>TEXT(Table1[[#This Row],[Data]],"mm")</f>
        <v>02</v>
      </c>
    </row>
    <row r="35" spans="1:11">
      <c r="A35" s="3">
        <v>42420</v>
      </c>
      <c r="B35" s="2" t="s">
        <v>29</v>
      </c>
      <c r="C35" s="2" t="s">
        <v>69</v>
      </c>
      <c r="D35" s="2" t="s">
        <v>35</v>
      </c>
      <c r="E35" s="2" t="s">
        <v>17</v>
      </c>
      <c r="F35" s="2" t="s">
        <v>17</v>
      </c>
      <c r="G35" s="2" t="s">
        <v>40</v>
      </c>
      <c r="H35" s="2" t="s">
        <v>44</v>
      </c>
      <c r="I35" s="2" t="s">
        <v>36</v>
      </c>
      <c r="J35" s="2">
        <f>YEAR(Table1[[#This Row],[Data]])</f>
        <v>2016</v>
      </c>
      <c r="K35" s="2" t="str">
        <f>TEXT(Table1[[#This Row],[Data]],"mm")</f>
        <v>02</v>
      </c>
    </row>
    <row r="36" spans="1:11">
      <c r="A36" s="3">
        <v>42415</v>
      </c>
      <c r="B36" s="2" t="s">
        <v>30</v>
      </c>
      <c r="C36" s="2" t="s">
        <v>70</v>
      </c>
      <c r="D36" s="2" t="s">
        <v>34</v>
      </c>
      <c r="E36" s="2" t="s">
        <v>13</v>
      </c>
      <c r="F36" s="2" t="s">
        <v>14</v>
      </c>
      <c r="G36" s="2" t="s">
        <v>40</v>
      </c>
      <c r="H36" s="2" t="s">
        <v>43</v>
      </c>
      <c r="I36" s="2" t="s">
        <v>36</v>
      </c>
      <c r="J36" s="2">
        <f>YEAR(Table1[[#This Row],[Data]])</f>
        <v>2016</v>
      </c>
      <c r="K36" s="2" t="str">
        <f>TEXT(Table1[[#This Row],[Data]],"mm")</f>
        <v>02</v>
      </c>
    </row>
    <row r="37" spans="1:11">
      <c r="A37" s="3">
        <v>42418</v>
      </c>
      <c r="B37" s="2" t="s">
        <v>30</v>
      </c>
      <c r="C37" s="2" t="s">
        <v>70</v>
      </c>
      <c r="D37" s="2" t="s">
        <v>34</v>
      </c>
      <c r="E37" s="2" t="s">
        <v>13</v>
      </c>
      <c r="F37" s="2" t="s">
        <v>15</v>
      </c>
      <c r="G37" s="2" t="s">
        <v>40</v>
      </c>
      <c r="H37" s="2" t="s">
        <v>45</v>
      </c>
      <c r="I37" s="2" t="s">
        <v>51</v>
      </c>
      <c r="J37" s="2">
        <f>YEAR(Table1[[#This Row],[Data]])</f>
        <v>2016</v>
      </c>
      <c r="K37" s="2" t="str">
        <f>TEXT(Table1[[#This Row],[Data]],"mm")</f>
        <v>02</v>
      </c>
    </row>
    <row r="38" spans="1:11">
      <c r="A38" s="3">
        <v>42422</v>
      </c>
      <c r="B38" s="2" t="s">
        <v>29</v>
      </c>
      <c r="C38" s="2" t="s">
        <v>66</v>
      </c>
      <c r="D38" s="2" t="s">
        <v>35</v>
      </c>
      <c r="E38" s="2" t="s">
        <v>13</v>
      </c>
      <c r="F38" s="2" t="s">
        <v>16</v>
      </c>
      <c r="G38" s="2" t="s">
        <v>40</v>
      </c>
      <c r="H38" s="2" t="s">
        <v>44</v>
      </c>
      <c r="I38" s="2" t="s">
        <v>36</v>
      </c>
      <c r="J38" s="2">
        <f>YEAR(Table1[[#This Row],[Data]])</f>
        <v>2016</v>
      </c>
      <c r="K38" s="2" t="str">
        <f>TEXT(Table1[[#This Row],[Data]],"mm")</f>
        <v>02</v>
      </c>
    </row>
    <row r="39" spans="1:11">
      <c r="A39" s="3">
        <v>42424</v>
      </c>
      <c r="B39" s="2" t="s">
        <v>30</v>
      </c>
      <c r="C39" s="2" t="s">
        <v>75</v>
      </c>
      <c r="D39" s="2" t="s">
        <v>35</v>
      </c>
      <c r="E39" s="2" t="s">
        <v>13</v>
      </c>
      <c r="F39" s="2" t="s">
        <v>17</v>
      </c>
      <c r="G39" s="2" t="s">
        <v>40</v>
      </c>
      <c r="H39" s="2" t="s">
        <v>43</v>
      </c>
      <c r="I39" s="2" t="s">
        <v>36</v>
      </c>
      <c r="J39" s="2">
        <f>YEAR(Table1[[#This Row],[Data]])</f>
        <v>2016</v>
      </c>
      <c r="K39" s="2" t="str">
        <f>TEXT(Table1[[#This Row],[Data]],"mm")</f>
        <v>02</v>
      </c>
    </row>
    <row r="40" spans="1:11">
      <c r="A40" s="3">
        <v>42424</v>
      </c>
      <c r="B40" s="2" t="s">
        <v>30</v>
      </c>
      <c r="C40" s="2" t="s">
        <v>75</v>
      </c>
      <c r="D40" s="2" t="s">
        <v>35</v>
      </c>
      <c r="E40" s="2" t="s">
        <v>13</v>
      </c>
      <c r="F40" s="2" t="s">
        <v>17</v>
      </c>
      <c r="G40" s="2" t="s">
        <v>39</v>
      </c>
      <c r="H40" s="2" t="s">
        <v>44</v>
      </c>
      <c r="I40" s="2" t="s">
        <v>36</v>
      </c>
      <c r="J40" s="2">
        <f>YEAR(Table1[[#This Row],[Data]])</f>
        <v>2016</v>
      </c>
      <c r="K40" s="2" t="str">
        <f>TEXT(Table1[[#This Row],[Data]],"mm")</f>
        <v>02</v>
      </c>
    </row>
    <row r="41" spans="1:11">
      <c r="A41" s="3">
        <v>42424</v>
      </c>
      <c r="B41" s="2" t="s">
        <v>29</v>
      </c>
      <c r="C41" s="2" t="s">
        <v>66</v>
      </c>
      <c r="D41" s="2" t="s">
        <v>35</v>
      </c>
      <c r="E41" s="2" t="s">
        <v>13</v>
      </c>
      <c r="F41" s="2" t="s">
        <v>16</v>
      </c>
      <c r="G41" s="2" t="s">
        <v>40</v>
      </c>
      <c r="H41" s="2" t="s">
        <v>43</v>
      </c>
      <c r="I41" s="2" t="s">
        <v>36</v>
      </c>
      <c r="J41" s="2">
        <f>YEAR(Table1[[#This Row],[Data]])</f>
        <v>2016</v>
      </c>
      <c r="K41" s="2" t="str">
        <f>TEXT(Table1[[#This Row],[Data]],"mm")</f>
        <v>02</v>
      </c>
    </row>
    <row r="42" spans="1:11">
      <c r="A42" s="3">
        <v>42429</v>
      </c>
      <c r="B42" s="2" t="s">
        <v>30</v>
      </c>
      <c r="C42" s="2" t="s">
        <v>67</v>
      </c>
      <c r="D42" s="2" t="s">
        <v>35</v>
      </c>
      <c r="E42" s="2" t="s">
        <v>14</v>
      </c>
      <c r="F42" s="2" t="s">
        <v>16</v>
      </c>
      <c r="G42" s="2" t="s">
        <v>40</v>
      </c>
      <c r="H42" s="2" t="s">
        <v>43</v>
      </c>
      <c r="I42" s="2" t="s">
        <v>36</v>
      </c>
      <c r="J42" s="2">
        <f>YEAR(Table1[[#This Row],[Data]])</f>
        <v>2016</v>
      </c>
      <c r="K42" s="2" t="str">
        <f>TEXT(Table1[[#This Row],[Data]],"mm")</f>
        <v>02</v>
      </c>
    </row>
    <row r="43" spans="1:11">
      <c r="A43" s="3">
        <v>42426</v>
      </c>
      <c r="B43" s="2" t="s">
        <v>29</v>
      </c>
      <c r="C43" s="2" t="s">
        <v>71</v>
      </c>
      <c r="D43" s="2" t="s">
        <v>34</v>
      </c>
      <c r="E43" s="2" t="s">
        <v>13</v>
      </c>
      <c r="F43" s="2" t="s">
        <v>16</v>
      </c>
      <c r="G43" s="2" t="s">
        <v>40</v>
      </c>
      <c r="H43" s="2" t="s">
        <v>45</v>
      </c>
      <c r="I43" s="2" t="s">
        <v>76</v>
      </c>
      <c r="J43" s="2">
        <f>YEAR(Table1[[#This Row],[Data]])</f>
        <v>2016</v>
      </c>
      <c r="K43" s="2" t="str">
        <f>TEXT(Table1[[#This Row],[Data]],"mm")</f>
        <v>02</v>
      </c>
    </row>
    <row r="44" spans="1:11">
      <c r="A44" s="3">
        <v>42427</v>
      </c>
      <c r="B44" s="2" t="s">
        <v>29</v>
      </c>
      <c r="C44" s="2" t="s">
        <v>66</v>
      </c>
      <c r="D44" s="2" t="s">
        <v>35</v>
      </c>
      <c r="E44" s="2" t="s">
        <v>13</v>
      </c>
      <c r="F44" s="2" t="s">
        <v>15</v>
      </c>
      <c r="G44" s="2" t="s">
        <v>40</v>
      </c>
      <c r="H44" s="2" t="s">
        <v>44</v>
      </c>
      <c r="I44" s="2" t="s">
        <v>36</v>
      </c>
      <c r="J44" s="2">
        <f>YEAR(Table1[[#This Row],[Data]])</f>
        <v>2016</v>
      </c>
      <c r="K44" s="2" t="str">
        <f>TEXT(Table1[[#This Row],[Data]],"mm")</f>
        <v>02</v>
      </c>
    </row>
    <row r="45" spans="1:11">
      <c r="A45" s="3">
        <v>42431</v>
      </c>
      <c r="B45" s="2" t="s">
        <v>30</v>
      </c>
      <c r="C45" s="2" t="s">
        <v>77</v>
      </c>
      <c r="D45" s="2" t="s">
        <v>34</v>
      </c>
      <c r="E45" s="2" t="s">
        <v>13</v>
      </c>
      <c r="F45" s="2" t="s">
        <v>15</v>
      </c>
      <c r="G45" s="2" t="s">
        <v>40</v>
      </c>
      <c r="H45" s="2" t="s">
        <v>43</v>
      </c>
      <c r="I45" s="2" t="s">
        <v>51</v>
      </c>
      <c r="J45" s="2">
        <f>YEAR(Table1[[#This Row],[Data]])</f>
        <v>2016</v>
      </c>
      <c r="K45" s="2" t="str">
        <f>TEXT(Table1[[#This Row],[Data]],"mm")</f>
        <v>03</v>
      </c>
    </row>
    <row r="46" spans="1:11">
      <c r="A46" s="3">
        <v>42431</v>
      </c>
      <c r="B46" s="2" t="s">
        <v>29</v>
      </c>
      <c r="C46" s="2" t="s">
        <v>71</v>
      </c>
      <c r="D46" s="2" t="s">
        <v>34</v>
      </c>
      <c r="E46" s="2" t="s">
        <v>13</v>
      </c>
      <c r="F46" s="2" t="s">
        <v>15</v>
      </c>
      <c r="G46" s="2" t="s">
        <v>40</v>
      </c>
      <c r="H46" s="2" t="s">
        <v>43</v>
      </c>
      <c r="I46" s="2" t="s">
        <v>78</v>
      </c>
      <c r="J46" s="2">
        <f>YEAR(Table1[[#This Row],[Data]])</f>
        <v>2016</v>
      </c>
      <c r="K46" s="2" t="str">
        <f>TEXT(Table1[[#This Row],[Data]],"mm")</f>
        <v>03</v>
      </c>
    </row>
    <row r="47" spans="1:11">
      <c r="A47" s="3">
        <v>42432</v>
      </c>
      <c r="B47" s="2" t="s">
        <v>29</v>
      </c>
      <c r="C47" s="2" t="s">
        <v>68</v>
      </c>
      <c r="D47" s="2" t="s">
        <v>35</v>
      </c>
      <c r="E47" s="2" t="s">
        <v>13</v>
      </c>
      <c r="F47" s="2" t="s">
        <v>15</v>
      </c>
      <c r="G47" s="2" t="s">
        <v>40</v>
      </c>
      <c r="H47" s="2" t="s">
        <v>44</v>
      </c>
      <c r="I47" s="2" t="s">
        <v>36</v>
      </c>
      <c r="J47" s="2">
        <f>YEAR(Table1[[#This Row],[Data]])</f>
        <v>2016</v>
      </c>
      <c r="K47" s="2" t="str">
        <f>TEXT(Table1[[#This Row],[Data]],"mm")</f>
        <v>03</v>
      </c>
    </row>
    <row r="48" spans="1:11">
      <c r="A48" s="3">
        <v>42433</v>
      </c>
      <c r="B48" s="2" t="s">
        <v>29</v>
      </c>
      <c r="C48" s="2" t="s">
        <v>71</v>
      </c>
      <c r="D48" s="2" t="s">
        <v>34</v>
      </c>
      <c r="E48" s="2" t="s">
        <v>13</v>
      </c>
      <c r="F48" s="2" t="s">
        <v>15</v>
      </c>
      <c r="G48" s="2" t="s">
        <v>40</v>
      </c>
      <c r="H48" s="2" t="s">
        <v>43</v>
      </c>
      <c r="I48" s="2" t="s">
        <v>52</v>
      </c>
      <c r="J48" s="2">
        <f>YEAR(Table1[[#This Row],[Data]])</f>
        <v>2016</v>
      </c>
      <c r="K48" s="2" t="str">
        <f>TEXT(Table1[[#This Row],[Data]],"mm")</f>
        <v>03</v>
      </c>
    </row>
    <row r="49" spans="1:11">
      <c r="A49" s="3">
        <v>42434</v>
      </c>
      <c r="B49" s="2" t="s">
        <v>29</v>
      </c>
      <c r="C49" s="2" t="s">
        <v>68</v>
      </c>
      <c r="D49" s="2" t="s">
        <v>35</v>
      </c>
      <c r="E49" s="2" t="s">
        <v>13</v>
      </c>
      <c r="F49" s="2" t="s">
        <v>16</v>
      </c>
      <c r="G49" s="2" t="s">
        <v>40</v>
      </c>
      <c r="H49" s="2" t="s">
        <v>43</v>
      </c>
      <c r="I49" s="2" t="s">
        <v>36</v>
      </c>
      <c r="J49" s="2">
        <f>YEAR(Table1[[#This Row],[Data]])</f>
        <v>2016</v>
      </c>
      <c r="K49" s="2" t="str">
        <f>TEXT(Table1[[#This Row],[Data]],"mm")</f>
        <v>03</v>
      </c>
    </row>
    <row r="50" spans="1:11">
      <c r="A50" s="3">
        <v>42435</v>
      </c>
      <c r="B50" s="2" t="s">
        <v>29</v>
      </c>
      <c r="C50" s="2" t="s">
        <v>69</v>
      </c>
      <c r="D50" s="2" t="s">
        <v>35</v>
      </c>
      <c r="E50" s="2" t="s">
        <v>13</v>
      </c>
      <c r="F50" s="2" t="s">
        <v>15</v>
      </c>
      <c r="G50" s="2" t="s">
        <v>40</v>
      </c>
      <c r="H50" s="2" t="s">
        <v>43</v>
      </c>
      <c r="I50" s="2" t="s">
        <v>36</v>
      </c>
      <c r="J50" s="2">
        <f>YEAR(Table1[[#This Row],[Data]])</f>
        <v>2016</v>
      </c>
      <c r="K50" s="2" t="str">
        <f>TEXT(Table1[[#This Row],[Data]],"mm")</f>
        <v>03</v>
      </c>
    </row>
    <row r="51" spans="1:11">
      <c r="A51" s="3">
        <v>42435</v>
      </c>
      <c r="B51" s="2" t="s">
        <v>29</v>
      </c>
      <c r="C51" s="2" t="s">
        <v>68</v>
      </c>
      <c r="D51" s="2" t="s">
        <v>35</v>
      </c>
      <c r="E51" s="2" t="s">
        <v>15</v>
      </c>
      <c r="F51" s="2" t="s">
        <v>16</v>
      </c>
      <c r="G51" s="2" t="s">
        <v>40</v>
      </c>
      <c r="H51" s="2" t="s">
        <v>45</v>
      </c>
      <c r="I51" s="2" t="s">
        <v>36</v>
      </c>
      <c r="J51" s="2">
        <f>YEAR(Table1[[#This Row],[Data]])</f>
        <v>2016</v>
      </c>
      <c r="K51" s="2" t="str">
        <f>TEXT(Table1[[#This Row],[Data]],"mm")</f>
        <v>03</v>
      </c>
    </row>
    <row r="52" spans="1:11">
      <c r="A52" s="3">
        <v>42438</v>
      </c>
      <c r="B52" s="2" t="s">
        <v>29</v>
      </c>
      <c r="C52" s="2" t="s">
        <v>71</v>
      </c>
      <c r="D52" s="2" t="s">
        <v>34</v>
      </c>
      <c r="E52" s="2" t="s">
        <v>13</v>
      </c>
      <c r="F52" s="2" t="s">
        <v>16</v>
      </c>
      <c r="G52" s="2" t="s">
        <v>40</v>
      </c>
      <c r="H52" s="2" t="s">
        <v>44</v>
      </c>
      <c r="I52" s="2" t="s">
        <v>79</v>
      </c>
      <c r="J52" s="2">
        <f>YEAR(Table1[[#This Row],[Data]])</f>
        <v>2016</v>
      </c>
      <c r="K52" s="2" t="str">
        <f>TEXT(Table1[[#This Row],[Data]],"mm")</f>
        <v>03</v>
      </c>
    </row>
    <row r="53" spans="1:11">
      <c r="A53" s="3">
        <v>42440</v>
      </c>
      <c r="B53" s="2" t="s">
        <v>29</v>
      </c>
      <c r="C53" s="2" t="s">
        <v>68</v>
      </c>
      <c r="D53" s="2" t="s">
        <v>35</v>
      </c>
      <c r="E53" s="2" t="s">
        <v>15</v>
      </c>
      <c r="F53" s="2" t="s">
        <v>17</v>
      </c>
      <c r="G53" s="2" t="s">
        <v>40</v>
      </c>
      <c r="H53" s="2" t="s">
        <v>44</v>
      </c>
      <c r="I53" s="2" t="s">
        <v>36</v>
      </c>
      <c r="J53" s="2">
        <f>YEAR(Table1[[#This Row],[Data]])</f>
        <v>2016</v>
      </c>
      <c r="K53" s="2" t="str">
        <f>TEXT(Table1[[#This Row],[Data]],"mm")</f>
        <v>03</v>
      </c>
    </row>
    <row r="54" spans="1:11">
      <c r="A54" s="3">
        <v>42440</v>
      </c>
      <c r="B54" s="2" t="s">
        <v>29</v>
      </c>
      <c r="C54" s="2" t="s">
        <v>68</v>
      </c>
      <c r="D54" s="2" t="s">
        <v>35</v>
      </c>
      <c r="E54" s="2" t="s">
        <v>13</v>
      </c>
      <c r="F54" s="2" t="s">
        <v>17</v>
      </c>
      <c r="G54" s="2" t="s">
        <v>40</v>
      </c>
      <c r="H54" s="2" t="s">
        <v>44</v>
      </c>
      <c r="I54" s="2" t="s">
        <v>36</v>
      </c>
      <c r="J54" s="2">
        <f>YEAR(Table1[[#This Row],[Data]])</f>
        <v>2016</v>
      </c>
      <c r="K54" s="2" t="str">
        <f>TEXT(Table1[[#This Row],[Data]],"mm")</f>
        <v>03</v>
      </c>
    </row>
    <row r="55" spans="1:11">
      <c r="A55" s="3">
        <v>42442</v>
      </c>
      <c r="B55" s="2" t="s">
        <v>29</v>
      </c>
      <c r="C55" s="2" t="s">
        <v>68</v>
      </c>
      <c r="D55" s="2" t="s">
        <v>35</v>
      </c>
      <c r="E55" s="2" t="s">
        <v>13</v>
      </c>
      <c r="F55" s="2" t="s">
        <v>16</v>
      </c>
      <c r="G55" s="2" t="s">
        <v>40</v>
      </c>
      <c r="H55" s="2" t="s">
        <v>45</v>
      </c>
      <c r="I55" s="2" t="s">
        <v>36</v>
      </c>
      <c r="J55" s="2">
        <f>YEAR(Table1[[#This Row],[Data]])</f>
        <v>2016</v>
      </c>
      <c r="K55" s="2" t="str">
        <f>TEXT(Table1[[#This Row],[Data]],"mm")</f>
        <v>03</v>
      </c>
    </row>
    <row r="56" spans="1:11">
      <c r="A56" s="3">
        <v>42441</v>
      </c>
      <c r="B56" s="2" t="s">
        <v>30</v>
      </c>
      <c r="C56" s="2" t="s">
        <v>75</v>
      </c>
      <c r="D56" s="2" t="s">
        <v>35</v>
      </c>
      <c r="E56" s="2" t="s">
        <v>15</v>
      </c>
      <c r="F56" s="2" t="s">
        <v>16</v>
      </c>
      <c r="G56" s="2" t="s">
        <v>40</v>
      </c>
      <c r="H56" s="2" t="s">
        <v>43</v>
      </c>
      <c r="I56" s="2" t="s">
        <v>36</v>
      </c>
      <c r="J56" s="2">
        <f>YEAR(Table1[[#This Row],[Data]])</f>
        <v>2016</v>
      </c>
      <c r="K56" s="2" t="str">
        <f>TEXT(Table1[[#This Row],[Data]],"mm")</f>
        <v>03</v>
      </c>
    </row>
    <row r="57" spans="1:11">
      <c r="A57" s="3">
        <v>42443</v>
      </c>
      <c r="B57" s="2" t="s">
        <v>29</v>
      </c>
      <c r="C57" s="2" t="s">
        <v>71</v>
      </c>
      <c r="D57" s="2" t="s">
        <v>34</v>
      </c>
      <c r="E57" s="2" t="s">
        <v>14</v>
      </c>
      <c r="F57" s="2" t="s">
        <v>15</v>
      </c>
      <c r="G57" s="2" t="s">
        <v>40</v>
      </c>
      <c r="H57" s="2" t="s">
        <v>45</v>
      </c>
      <c r="I57" s="2" t="s">
        <v>54</v>
      </c>
      <c r="J57" s="2">
        <f>YEAR(Table1[[#This Row],[Data]])</f>
        <v>2016</v>
      </c>
      <c r="K57" s="2" t="str">
        <f>TEXT(Table1[[#This Row],[Data]],"mm")</f>
        <v>03</v>
      </c>
    </row>
    <row r="58" spans="1:11">
      <c r="A58" s="3">
        <v>42442</v>
      </c>
      <c r="B58" s="2" t="s">
        <v>29</v>
      </c>
      <c r="C58" s="2" t="s">
        <v>68</v>
      </c>
      <c r="D58" s="2" t="s">
        <v>35</v>
      </c>
      <c r="E58" s="2" t="s">
        <v>13</v>
      </c>
      <c r="F58" s="2" t="s">
        <v>15</v>
      </c>
      <c r="G58" s="2" t="s">
        <v>40</v>
      </c>
      <c r="H58" s="2" t="s">
        <v>43</v>
      </c>
      <c r="I58" s="2" t="s">
        <v>36</v>
      </c>
      <c r="J58" s="2">
        <f>YEAR(Table1[[#This Row],[Data]])</f>
        <v>2016</v>
      </c>
      <c r="K58" s="2" t="str">
        <f>TEXT(Table1[[#This Row],[Data]],"mm")</f>
        <v>03</v>
      </c>
    </row>
    <row r="59" spans="1:11">
      <c r="A59" s="3">
        <v>42445</v>
      </c>
      <c r="B59" s="2" t="s">
        <v>29</v>
      </c>
      <c r="C59" s="2" t="s">
        <v>69</v>
      </c>
      <c r="D59" s="2" t="s">
        <v>35</v>
      </c>
      <c r="E59" s="2" t="s">
        <v>13</v>
      </c>
      <c r="F59" s="2" t="s">
        <v>14</v>
      </c>
      <c r="G59" s="2" t="s">
        <v>40</v>
      </c>
      <c r="H59" s="2" t="s">
        <v>44</v>
      </c>
      <c r="I59" s="2" t="s">
        <v>36</v>
      </c>
      <c r="J59" s="2">
        <f>YEAR(Table1[[#This Row],[Data]])</f>
        <v>2016</v>
      </c>
      <c r="K59" s="2" t="str">
        <f>TEXT(Table1[[#This Row],[Data]],"mm")</f>
        <v>03</v>
      </c>
    </row>
    <row r="60" spans="1:11">
      <c r="A60" s="3">
        <v>42439</v>
      </c>
      <c r="B60" s="2" t="s">
        <v>30</v>
      </c>
      <c r="C60" s="2" t="s">
        <v>70</v>
      </c>
      <c r="D60" s="2" t="s">
        <v>34</v>
      </c>
      <c r="E60" s="2" t="s">
        <v>13</v>
      </c>
      <c r="F60" s="2" t="s">
        <v>14</v>
      </c>
      <c r="G60" s="2" t="s">
        <v>40</v>
      </c>
      <c r="H60" s="2" t="s">
        <v>43</v>
      </c>
      <c r="I60" s="2" t="s">
        <v>51</v>
      </c>
      <c r="J60" s="2">
        <f>YEAR(Table1[[#This Row],[Data]])</f>
        <v>2016</v>
      </c>
      <c r="K60" s="2" t="str">
        <f>TEXT(Table1[[#This Row],[Data]],"mm")</f>
        <v>03</v>
      </c>
    </row>
    <row r="61" spans="1:11">
      <c r="A61" s="3">
        <v>42446</v>
      </c>
      <c r="B61" s="2" t="s">
        <v>29</v>
      </c>
      <c r="C61" s="2" t="s">
        <v>66</v>
      </c>
      <c r="D61" s="2" t="s">
        <v>35</v>
      </c>
      <c r="E61" s="2" t="s">
        <v>13</v>
      </c>
      <c r="F61" s="2" t="s">
        <v>14</v>
      </c>
      <c r="G61" s="2" t="s">
        <v>40</v>
      </c>
      <c r="H61" s="2" t="s">
        <v>44</v>
      </c>
      <c r="I61" s="2" t="s">
        <v>36</v>
      </c>
      <c r="J61" s="2">
        <f>YEAR(Table1[[#This Row],[Data]])</f>
        <v>2016</v>
      </c>
      <c r="K61" s="2" t="str">
        <f>TEXT(Table1[[#This Row],[Data]],"mm")</f>
        <v>03</v>
      </c>
    </row>
    <row r="62" spans="1:11">
      <c r="A62" s="3">
        <v>42445</v>
      </c>
      <c r="B62" s="2" t="s">
        <v>30</v>
      </c>
      <c r="C62" s="2" t="s">
        <v>77</v>
      </c>
      <c r="D62" s="2" t="s">
        <v>34</v>
      </c>
      <c r="E62" s="2" t="s">
        <v>14</v>
      </c>
      <c r="F62" s="2" t="s">
        <v>14</v>
      </c>
      <c r="G62" s="2" t="s">
        <v>40</v>
      </c>
      <c r="H62" s="2" t="s">
        <v>43</v>
      </c>
      <c r="I62" s="2" t="s">
        <v>52</v>
      </c>
      <c r="J62" s="2">
        <f>YEAR(Table1[[#This Row],[Data]])</f>
        <v>2016</v>
      </c>
      <c r="K62" s="2" t="str">
        <f>TEXT(Table1[[#This Row],[Data]],"mm")</f>
        <v>03</v>
      </c>
    </row>
    <row r="63" spans="1:11">
      <c r="A63" s="3">
        <v>42447</v>
      </c>
      <c r="B63" s="2" t="s">
        <v>29</v>
      </c>
      <c r="C63" s="2" t="s">
        <v>69</v>
      </c>
      <c r="D63" s="2" t="s">
        <v>35</v>
      </c>
      <c r="E63" s="2" t="s">
        <v>16</v>
      </c>
      <c r="F63" s="2" t="s">
        <v>16</v>
      </c>
      <c r="G63" s="2" t="s">
        <v>40</v>
      </c>
      <c r="H63" s="2" t="s">
        <v>44</v>
      </c>
      <c r="I63" s="2" t="s">
        <v>36</v>
      </c>
      <c r="J63" s="2">
        <f>YEAR(Table1[[#This Row],[Data]])</f>
        <v>2016</v>
      </c>
      <c r="K63" s="2" t="str">
        <f>TEXT(Table1[[#This Row],[Data]],"mm")</f>
        <v>03</v>
      </c>
    </row>
    <row r="64" spans="1:11">
      <c r="A64" s="3">
        <v>42448</v>
      </c>
      <c r="B64" s="2" t="s">
        <v>29</v>
      </c>
      <c r="C64" s="2" t="s">
        <v>66</v>
      </c>
      <c r="D64" s="2" t="s">
        <v>35</v>
      </c>
      <c r="E64" s="2" t="s">
        <v>13</v>
      </c>
      <c r="F64" s="2" t="s">
        <v>15</v>
      </c>
      <c r="G64" s="2" t="s">
        <v>40</v>
      </c>
      <c r="H64" s="2" t="s">
        <v>43</v>
      </c>
      <c r="I64" s="2" t="s">
        <v>36</v>
      </c>
      <c r="J64" s="2">
        <f>YEAR(Table1[[#This Row],[Data]])</f>
        <v>2016</v>
      </c>
      <c r="K64" s="2" t="str">
        <f>TEXT(Table1[[#This Row],[Data]],"mm")</f>
        <v>03</v>
      </c>
    </row>
    <row r="65" spans="1:11">
      <c r="A65" s="3">
        <v>42443</v>
      </c>
      <c r="B65" s="2" t="s">
        <v>30</v>
      </c>
      <c r="C65" s="2" t="s">
        <v>70</v>
      </c>
      <c r="D65" s="2" t="s">
        <v>34</v>
      </c>
      <c r="E65" s="2" t="s">
        <v>13</v>
      </c>
      <c r="F65" s="2" t="s">
        <v>16</v>
      </c>
      <c r="G65" s="2" t="s">
        <v>40</v>
      </c>
      <c r="H65" s="2" t="s">
        <v>43</v>
      </c>
      <c r="I65" s="2" t="s">
        <v>54</v>
      </c>
      <c r="J65" s="2">
        <f>YEAR(Table1[[#This Row],[Data]])</f>
        <v>2016</v>
      </c>
      <c r="K65" s="2" t="str">
        <f>TEXT(Table1[[#This Row],[Data]],"mm")</f>
        <v>03</v>
      </c>
    </row>
    <row r="66" spans="1:11">
      <c r="A66" s="3">
        <v>42447</v>
      </c>
      <c r="B66" s="2" t="s">
        <v>30</v>
      </c>
      <c r="C66" s="2" t="s">
        <v>70</v>
      </c>
      <c r="D66" s="2" t="s">
        <v>34</v>
      </c>
      <c r="E66" s="2" t="s">
        <v>13</v>
      </c>
      <c r="F66" s="2" t="s">
        <v>16</v>
      </c>
      <c r="G66" s="2" t="s">
        <v>40</v>
      </c>
      <c r="H66" s="2" t="s">
        <v>43</v>
      </c>
      <c r="I66" s="2" t="s">
        <v>62</v>
      </c>
      <c r="J66" s="2">
        <f>YEAR(Table1[[#This Row],[Data]])</f>
        <v>2016</v>
      </c>
      <c r="K66" s="2" t="str">
        <f>TEXT(Table1[[#This Row],[Data]],"mm")</f>
        <v>03</v>
      </c>
    </row>
    <row r="67" spans="1:11">
      <c r="A67" s="3">
        <v>42447</v>
      </c>
      <c r="B67" s="2" t="s">
        <v>30</v>
      </c>
      <c r="C67" s="2" t="s">
        <v>70</v>
      </c>
      <c r="D67" s="2" t="s">
        <v>34</v>
      </c>
      <c r="E67" s="2" t="s">
        <v>13</v>
      </c>
      <c r="F67" s="2" t="s">
        <v>16</v>
      </c>
      <c r="G67" s="2" t="s">
        <v>40</v>
      </c>
      <c r="H67" s="2" t="s">
        <v>43</v>
      </c>
      <c r="I67" s="2" t="s">
        <v>54</v>
      </c>
      <c r="J67" s="2">
        <f>YEAR(Table1[[#This Row],[Data]])</f>
        <v>2016</v>
      </c>
      <c r="K67" s="2" t="str">
        <f>TEXT(Table1[[#This Row],[Data]],"mm")</f>
        <v>03</v>
      </c>
    </row>
    <row r="68" spans="1:11">
      <c r="A68" s="3">
        <v>42451</v>
      </c>
      <c r="B68" s="2" t="s">
        <v>29</v>
      </c>
      <c r="C68" s="2" t="s">
        <v>68</v>
      </c>
      <c r="D68" s="2" t="s">
        <v>35</v>
      </c>
      <c r="E68" s="2" t="s">
        <v>13</v>
      </c>
      <c r="F68" s="2" t="s">
        <v>14</v>
      </c>
      <c r="G68" s="2" t="s">
        <v>40</v>
      </c>
      <c r="H68" s="2" t="s">
        <v>43</v>
      </c>
      <c r="I68" s="2" t="s">
        <v>36</v>
      </c>
      <c r="J68" s="2">
        <f>YEAR(Table1[[#This Row],[Data]])</f>
        <v>2016</v>
      </c>
      <c r="K68" s="2" t="str">
        <f>TEXT(Table1[[#This Row],[Data]],"mm")</f>
        <v>03</v>
      </c>
    </row>
    <row r="69" spans="1:11">
      <c r="A69" s="3">
        <v>42451</v>
      </c>
      <c r="B69" s="2" t="s">
        <v>29</v>
      </c>
      <c r="C69" s="2" t="s">
        <v>66</v>
      </c>
      <c r="D69" s="2" t="s">
        <v>35</v>
      </c>
      <c r="E69" s="2" t="s">
        <v>16</v>
      </c>
      <c r="F69" s="2" t="s">
        <v>16</v>
      </c>
      <c r="G69" s="2" t="s">
        <v>40</v>
      </c>
      <c r="H69" s="2" t="s">
        <v>44</v>
      </c>
      <c r="I69" s="2" t="s">
        <v>36</v>
      </c>
      <c r="J69" s="2">
        <f>YEAR(Table1[[#This Row],[Data]])</f>
        <v>2016</v>
      </c>
      <c r="K69" s="2" t="str">
        <f>TEXT(Table1[[#This Row],[Data]],"mm")</f>
        <v>03</v>
      </c>
    </row>
    <row r="70" spans="1:11">
      <c r="A70" s="3">
        <v>42454</v>
      </c>
      <c r="B70" s="2" t="s">
        <v>29</v>
      </c>
      <c r="C70" s="2" t="s">
        <v>66</v>
      </c>
      <c r="D70" s="2" t="s">
        <v>35</v>
      </c>
      <c r="E70" s="2" t="s">
        <v>13</v>
      </c>
      <c r="F70" s="2" t="s">
        <v>16</v>
      </c>
      <c r="G70" s="2" t="s">
        <v>40</v>
      </c>
      <c r="H70" s="2" t="s">
        <v>44</v>
      </c>
      <c r="I70" s="2" t="s">
        <v>36</v>
      </c>
      <c r="J70" s="2">
        <f>YEAR(Table1[[#This Row],[Data]])</f>
        <v>2016</v>
      </c>
      <c r="K70" s="2" t="str">
        <f>TEXT(Table1[[#This Row],[Data]],"mm")</f>
        <v>03</v>
      </c>
    </row>
    <row r="71" spans="1:11">
      <c r="A71" s="3">
        <v>42459</v>
      </c>
      <c r="B71" s="2" t="s">
        <v>29</v>
      </c>
      <c r="C71" s="2" t="s">
        <v>69</v>
      </c>
      <c r="D71" s="2" t="s">
        <v>35</v>
      </c>
      <c r="E71" s="2" t="s">
        <v>14</v>
      </c>
      <c r="F71" s="2" t="s">
        <v>16</v>
      </c>
      <c r="G71" s="2" t="s">
        <v>40</v>
      </c>
      <c r="H71" s="2" t="s">
        <v>44</v>
      </c>
      <c r="I71" s="2" t="s">
        <v>36</v>
      </c>
      <c r="J71" s="2">
        <f>YEAR(Table1[[#This Row],[Data]])</f>
        <v>2016</v>
      </c>
      <c r="K71" s="2" t="str">
        <f>TEXT(Table1[[#This Row],[Data]],"mm")</f>
        <v>03</v>
      </c>
    </row>
    <row r="72" spans="1:11">
      <c r="A72" s="3">
        <v>42459</v>
      </c>
      <c r="B72" s="2" t="s">
        <v>29</v>
      </c>
      <c r="C72" s="2" t="s">
        <v>68</v>
      </c>
      <c r="D72" s="2" t="s">
        <v>35</v>
      </c>
      <c r="E72" s="2" t="s">
        <v>13</v>
      </c>
      <c r="F72" s="2" t="s">
        <v>15</v>
      </c>
      <c r="G72" s="2" t="s">
        <v>40</v>
      </c>
      <c r="H72" s="2" t="s">
        <v>43</v>
      </c>
      <c r="I72" s="2" t="s">
        <v>36</v>
      </c>
      <c r="J72" s="2">
        <f>YEAR(Table1[[#This Row],[Data]])</f>
        <v>2016</v>
      </c>
      <c r="K72" s="2" t="str">
        <f>TEXT(Table1[[#This Row],[Data]],"mm")</f>
        <v>03</v>
      </c>
    </row>
    <row r="73" spans="1:11">
      <c r="A73" s="3">
        <v>42460</v>
      </c>
      <c r="B73" s="2" t="s">
        <v>29</v>
      </c>
      <c r="C73" s="2" t="s">
        <v>71</v>
      </c>
      <c r="D73" s="2" t="s">
        <v>34</v>
      </c>
      <c r="E73" s="2" t="s">
        <v>13</v>
      </c>
      <c r="F73" s="2" t="s">
        <v>15</v>
      </c>
      <c r="G73" s="2" t="s">
        <v>40</v>
      </c>
      <c r="H73" s="2" t="s">
        <v>43</v>
      </c>
      <c r="I73" s="2" t="s">
        <v>36</v>
      </c>
      <c r="J73" s="2">
        <f>YEAR(Table1[[#This Row],[Data]])</f>
        <v>2016</v>
      </c>
      <c r="K73" s="2" t="str">
        <f>TEXT(Table1[[#This Row],[Data]],"mm")</f>
        <v>03</v>
      </c>
    </row>
    <row r="74" spans="1:11">
      <c r="A74" s="3">
        <v>42460</v>
      </c>
      <c r="B74" s="2" t="s">
        <v>30</v>
      </c>
      <c r="C74" s="2" t="s">
        <v>77</v>
      </c>
      <c r="D74" s="2" t="s">
        <v>34</v>
      </c>
      <c r="E74" s="2" t="s">
        <v>13</v>
      </c>
      <c r="F74" s="2" t="s">
        <v>15</v>
      </c>
      <c r="G74" s="2" t="s">
        <v>40</v>
      </c>
      <c r="H74" s="2" t="s">
        <v>45</v>
      </c>
      <c r="I74" s="2" t="s">
        <v>51</v>
      </c>
      <c r="J74" s="2">
        <f>YEAR(Table1[[#This Row],[Data]])</f>
        <v>2016</v>
      </c>
      <c r="K74" s="2" t="str">
        <f>TEXT(Table1[[#This Row],[Data]],"mm")</f>
        <v>03</v>
      </c>
    </row>
    <row r="75" spans="1:11">
      <c r="A75" s="3">
        <v>42461</v>
      </c>
      <c r="B75" s="2" t="s">
        <v>29</v>
      </c>
      <c r="C75" s="2" t="s">
        <v>68</v>
      </c>
      <c r="D75" s="2" t="s">
        <v>35</v>
      </c>
      <c r="E75" s="2" t="s">
        <v>13</v>
      </c>
      <c r="F75" s="2" t="s">
        <v>15</v>
      </c>
      <c r="G75" s="2" t="s">
        <v>40</v>
      </c>
      <c r="H75" s="2" t="s">
        <v>44</v>
      </c>
      <c r="I75" s="2" t="s">
        <v>36</v>
      </c>
      <c r="J75" s="2">
        <f>YEAR(Table1[[#This Row],[Data]])</f>
        <v>2016</v>
      </c>
      <c r="K75" s="2" t="str">
        <f>TEXT(Table1[[#This Row],[Data]],"mm")</f>
        <v>04</v>
      </c>
    </row>
    <row r="76" spans="1:11">
      <c r="A76" s="3">
        <v>42463</v>
      </c>
      <c r="B76" s="2" t="s">
        <v>29</v>
      </c>
      <c r="C76" s="2" t="s">
        <v>66</v>
      </c>
      <c r="D76" s="2" t="s">
        <v>35</v>
      </c>
      <c r="E76" s="2" t="s">
        <v>15</v>
      </c>
      <c r="F76" s="2" t="s">
        <v>17</v>
      </c>
      <c r="G76" s="2" t="s">
        <v>40</v>
      </c>
      <c r="H76" s="2" t="s">
        <v>44</v>
      </c>
      <c r="I76" s="2" t="s">
        <v>36</v>
      </c>
      <c r="J76" s="2">
        <f>YEAR(Table1[[#This Row],[Data]])</f>
        <v>2016</v>
      </c>
      <c r="K76" s="2" t="str">
        <f>TEXT(Table1[[#This Row],[Data]],"mm")</f>
        <v>04</v>
      </c>
    </row>
    <row r="77" spans="1:11">
      <c r="A77" s="3">
        <v>42462</v>
      </c>
      <c r="B77" s="2" t="s">
        <v>29</v>
      </c>
      <c r="C77" s="2" t="s">
        <v>66</v>
      </c>
      <c r="D77" s="2" t="s">
        <v>35</v>
      </c>
      <c r="E77" s="2" t="s">
        <v>13</v>
      </c>
      <c r="F77" s="2" t="s">
        <v>15</v>
      </c>
      <c r="G77" s="2" t="s">
        <v>40</v>
      </c>
      <c r="H77" s="2" t="s">
        <v>43</v>
      </c>
      <c r="I77" s="2" t="s">
        <v>36</v>
      </c>
      <c r="J77" s="2">
        <f>YEAR(Table1[[#This Row],[Data]])</f>
        <v>2016</v>
      </c>
      <c r="K77" s="2" t="str">
        <f>TEXT(Table1[[#This Row],[Data]],"mm")</f>
        <v>04</v>
      </c>
    </row>
    <row r="78" spans="1:11">
      <c r="A78" s="3">
        <v>42461</v>
      </c>
      <c r="B78" s="2" t="s">
        <v>29</v>
      </c>
      <c r="C78" s="2" t="s">
        <v>66</v>
      </c>
      <c r="D78" s="2" t="s">
        <v>35</v>
      </c>
      <c r="E78" s="2" t="s">
        <v>13</v>
      </c>
      <c r="F78" s="2" t="s">
        <v>17</v>
      </c>
      <c r="G78" s="2" t="s">
        <v>40</v>
      </c>
      <c r="H78" s="2" t="s">
        <v>45</v>
      </c>
      <c r="I78" s="2" t="s">
        <v>36</v>
      </c>
      <c r="J78" s="2">
        <f>YEAR(Table1[[#This Row],[Data]])</f>
        <v>2016</v>
      </c>
      <c r="K78" s="2" t="str">
        <f>TEXT(Table1[[#This Row],[Data]],"mm")</f>
        <v>04</v>
      </c>
    </row>
    <row r="79" spans="1:11">
      <c r="A79" s="3">
        <v>42439</v>
      </c>
      <c r="B79" s="2" t="s">
        <v>31</v>
      </c>
      <c r="C79" s="2" t="s">
        <v>80</v>
      </c>
      <c r="D79" s="2" t="s">
        <v>36</v>
      </c>
      <c r="E79" s="2" t="s">
        <v>14</v>
      </c>
      <c r="F79" s="2" t="s">
        <v>14</v>
      </c>
      <c r="G79" s="2" t="s">
        <v>40</v>
      </c>
      <c r="H79" s="2" t="s">
        <v>44</v>
      </c>
      <c r="I79" s="2" t="s">
        <v>36</v>
      </c>
      <c r="J79" s="2">
        <f>YEAR(Table1[[#This Row],[Data]])</f>
        <v>2016</v>
      </c>
      <c r="K79" s="2" t="str">
        <f>TEXT(Table1[[#This Row],[Data]],"mm")</f>
        <v>03</v>
      </c>
    </row>
    <row r="80" spans="1:11">
      <c r="A80" s="3">
        <v>42453</v>
      </c>
      <c r="B80" s="2" t="s">
        <v>31</v>
      </c>
      <c r="C80" s="2" t="s">
        <v>80</v>
      </c>
      <c r="D80" s="2" t="s">
        <v>36</v>
      </c>
      <c r="E80" s="2" t="s">
        <v>16</v>
      </c>
      <c r="F80" s="2" t="s">
        <v>16</v>
      </c>
      <c r="G80" s="2" t="s">
        <v>40</v>
      </c>
      <c r="H80" s="2" t="s">
        <v>44</v>
      </c>
      <c r="I80" s="2" t="s">
        <v>81</v>
      </c>
      <c r="J80" s="2">
        <f>YEAR(Table1[[#This Row],[Data]])</f>
        <v>2016</v>
      </c>
      <c r="K80" s="2" t="str">
        <f>TEXT(Table1[[#This Row],[Data]],"mm")</f>
        <v>03</v>
      </c>
    </row>
    <row r="81" spans="1:11">
      <c r="A81" s="3">
        <v>42451</v>
      </c>
      <c r="B81" s="2" t="s">
        <v>31</v>
      </c>
      <c r="C81" s="2" t="s">
        <v>80</v>
      </c>
      <c r="D81" s="2" t="s">
        <v>36</v>
      </c>
      <c r="E81" s="2" t="s">
        <v>13</v>
      </c>
      <c r="F81" s="2" t="s">
        <v>13</v>
      </c>
      <c r="G81" s="2" t="s">
        <v>40</v>
      </c>
      <c r="H81" s="2" t="s">
        <v>44</v>
      </c>
      <c r="I81" s="2" t="s">
        <v>36</v>
      </c>
      <c r="J81" s="2">
        <f>YEAR(Table1[[#This Row],[Data]])</f>
        <v>2016</v>
      </c>
      <c r="K81" s="2" t="str">
        <f>TEXT(Table1[[#This Row],[Data]],"mm")</f>
        <v>03</v>
      </c>
    </row>
    <row r="82" spans="1:11">
      <c r="A82" s="3">
        <v>42460</v>
      </c>
      <c r="B82" s="2" t="s">
        <v>29</v>
      </c>
      <c r="C82" s="2" t="s">
        <v>68</v>
      </c>
      <c r="D82" s="2" t="s">
        <v>35</v>
      </c>
      <c r="E82" s="2" t="s">
        <v>13</v>
      </c>
      <c r="F82" s="2" t="s">
        <v>14</v>
      </c>
      <c r="G82" s="2" t="s">
        <v>40</v>
      </c>
      <c r="H82" s="2" t="s">
        <v>44</v>
      </c>
      <c r="I82" s="2" t="s">
        <v>36</v>
      </c>
      <c r="J82" s="2">
        <f>YEAR(Table1[[#This Row],[Data]])</f>
        <v>2016</v>
      </c>
      <c r="K82" s="2" t="str">
        <f>TEXT(Table1[[#This Row],[Data]],"mm")</f>
        <v>03</v>
      </c>
    </row>
    <row r="83" spans="1:11">
      <c r="A83" s="3">
        <v>42464</v>
      </c>
      <c r="B83" s="2" t="s">
        <v>30</v>
      </c>
      <c r="C83" s="2" t="s">
        <v>82</v>
      </c>
      <c r="D83" s="2" t="s">
        <v>34</v>
      </c>
      <c r="E83" s="2" t="s">
        <v>15</v>
      </c>
      <c r="F83" s="2" t="s">
        <v>16</v>
      </c>
      <c r="G83" s="2" t="s">
        <v>40</v>
      </c>
      <c r="H83" s="2" t="s">
        <v>43</v>
      </c>
      <c r="I83" s="2" t="s">
        <v>52</v>
      </c>
      <c r="J83" s="2">
        <f>YEAR(Table1[[#This Row],[Data]])</f>
        <v>2016</v>
      </c>
      <c r="K83" s="2" t="str">
        <f>TEXT(Table1[[#This Row],[Data]],"mm")</f>
        <v>04</v>
      </c>
    </row>
    <row r="84" spans="1:11">
      <c r="A84" s="3">
        <v>42465</v>
      </c>
      <c r="B84" s="2" t="s">
        <v>29</v>
      </c>
      <c r="C84" s="2" t="s">
        <v>71</v>
      </c>
      <c r="D84" s="2" t="s">
        <v>34</v>
      </c>
      <c r="E84" s="2" t="s">
        <v>13</v>
      </c>
      <c r="F84" s="2" t="s">
        <v>15</v>
      </c>
      <c r="G84" s="2" t="s">
        <v>40</v>
      </c>
      <c r="H84" s="2" t="s">
        <v>44</v>
      </c>
      <c r="I84" s="2" t="s">
        <v>62</v>
      </c>
      <c r="J84" s="2">
        <f>YEAR(Table1[[#This Row],[Data]])</f>
        <v>2016</v>
      </c>
      <c r="K84" s="2" t="str">
        <f>TEXT(Table1[[#This Row],[Data]],"mm")</f>
        <v>04</v>
      </c>
    </row>
    <row r="85" spans="1:11">
      <c r="A85" s="3">
        <v>42465</v>
      </c>
      <c r="B85" s="2" t="s">
        <v>30</v>
      </c>
      <c r="C85" s="2" t="s">
        <v>70</v>
      </c>
      <c r="D85" s="2" t="s">
        <v>34</v>
      </c>
      <c r="E85" s="2" t="s">
        <v>13</v>
      </c>
      <c r="F85" s="2" t="s">
        <v>15</v>
      </c>
      <c r="G85" s="2" t="s">
        <v>40</v>
      </c>
      <c r="H85" s="2" t="s">
        <v>44</v>
      </c>
      <c r="I85" s="2" t="s">
        <v>51</v>
      </c>
      <c r="J85" s="2">
        <f>YEAR(Table1[[#This Row],[Data]])</f>
        <v>2016</v>
      </c>
      <c r="K85" s="2" t="str">
        <f>TEXT(Table1[[#This Row],[Data]],"mm")</f>
        <v>04</v>
      </c>
    </row>
    <row r="86" spans="1:11">
      <c r="A86" s="3">
        <v>42467</v>
      </c>
      <c r="B86" s="2" t="s">
        <v>29</v>
      </c>
      <c r="C86" s="2" t="s">
        <v>68</v>
      </c>
      <c r="D86" s="2" t="s">
        <v>35</v>
      </c>
      <c r="E86" s="2" t="s">
        <v>13</v>
      </c>
      <c r="F86" s="2" t="s">
        <v>14</v>
      </c>
      <c r="G86" s="2" t="s">
        <v>40</v>
      </c>
      <c r="H86" s="2" t="s">
        <v>44</v>
      </c>
      <c r="I86" s="2" t="s">
        <v>36</v>
      </c>
      <c r="J86" s="2">
        <f>YEAR(Table1[[#This Row],[Data]])</f>
        <v>2016</v>
      </c>
      <c r="K86" s="2" t="str">
        <f>TEXT(Table1[[#This Row],[Data]],"mm")</f>
        <v>04</v>
      </c>
    </row>
    <row r="87" spans="1:11">
      <c r="A87" s="3">
        <v>42468</v>
      </c>
      <c r="B87" s="2" t="s">
        <v>29</v>
      </c>
      <c r="C87" s="2" t="s">
        <v>68</v>
      </c>
      <c r="D87" s="2" t="s">
        <v>35</v>
      </c>
      <c r="E87" s="2" t="s">
        <v>13</v>
      </c>
      <c r="F87" s="2" t="s">
        <v>16</v>
      </c>
      <c r="G87" s="2" t="s">
        <v>40</v>
      </c>
      <c r="H87" s="2" t="s">
        <v>43</v>
      </c>
      <c r="I87" s="2" t="s">
        <v>36</v>
      </c>
      <c r="J87" s="2">
        <f>YEAR(Table1[[#This Row],[Data]])</f>
        <v>2016</v>
      </c>
      <c r="K87" s="2" t="str">
        <f>TEXT(Table1[[#This Row],[Data]],"mm")</f>
        <v>04</v>
      </c>
    </row>
    <row r="88" spans="1:11">
      <c r="A88" s="3">
        <v>42471</v>
      </c>
      <c r="B88" s="2" t="s">
        <v>29</v>
      </c>
      <c r="C88" s="2" t="s">
        <v>66</v>
      </c>
      <c r="D88" s="2" t="s">
        <v>35</v>
      </c>
      <c r="E88" s="2" t="s">
        <v>13</v>
      </c>
      <c r="F88" s="2" t="s">
        <v>16</v>
      </c>
      <c r="G88" s="2" t="s">
        <v>40</v>
      </c>
      <c r="H88" s="2" t="s">
        <v>44</v>
      </c>
      <c r="I88" s="2" t="s">
        <v>36</v>
      </c>
      <c r="J88" s="2">
        <f>YEAR(Table1[[#This Row],[Data]])</f>
        <v>2016</v>
      </c>
      <c r="K88" s="2" t="str">
        <f>TEXT(Table1[[#This Row],[Data]],"mm")</f>
        <v>04</v>
      </c>
    </row>
    <row r="89" spans="1:11">
      <c r="A89" s="3">
        <v>42471</v>
      </c>
      <c r="B89" s="2" t="s">
        <v>29</v>
      </c>
      <c r="C89" s="2" t="s">
        <v>66</v>
      </c>
      <c r="D89" s="2" t="s">
        <v>35</v>
      </c>
      <c r="E89" s="2" t="s">
        <v>13</v>
      </c>
      <c r="F89" s="2" t="s">
        <v>16</v>
      </c>
      <c r="G89" s="2" t="s">
        <v>40</v>
      </c>
      <c r="H89" s="2" t="s">
        <v>43</v>
      </c>
      <c r="I89" s="2" t="s">
        <v>36</v>
      </c>
      <c r="J89" s="2">
        <f>YEAR(Table1[[#This Row],[Data]])</f>
        <v>2016</v>
      </c>
      <c r="K89" s="2" t="str">
        <f>TEXT(Table1[[#This Row],[Data]],"mm")</f>
        <v>04</v>
      </c>
    </row>
    <row r="90" spans="1:11">
      <c r="A90" s="3">
        <v>42474</v>
      </c>
      <c r="B90" s="2" t="s">
        <v>30</v>
      </c>
      <c r="C90" s="2" t="s">
        <v>77</v>
      </c>
      <c r="D90" s="2" t="s">
        <v>34</v>
      </c>
      <c r="E90" s="2" t="s">
        <v>13</v>
      </c>
      <c r="F90" s="2" t="s">
        <v>15</v>
      </c>
      <c r="G90" s="2" t="s">
        <v>40</v>
      </c>
      <c r="H90" s="2" t="s">
        <v>43</v>
      </c>
      <c r="I90" s="2" t="s">
        <v>61</v>
      </c>
      <c r="J90" s="2">
        <f>YEAR(Table1[[#This Row],[Data]])</f>
        <v>2016</v>
      </c>
      <c r="K90" s="2" t="str">
        <f>TEXT(Table1[[#This Row],[Data]],"mm")</f>
        <v>04</v>
      </c>
    </row>
    <row r="91" spans="1:11">
      <c r="A91" s="3">
        <v>42474</v>
      </c>
      <c r="B91" s="2" t="s">
        <v>29</v>
      </c>
      <c r="C91" s="2" t="s">
        <v>69</v>
      </c>
      <c r="D91" s="2" t="s">
        <v>35</v>
      </c>
      <c r="E91" s="2" t="s">
        <v>13</v>
      </c>
      <c r="F91" s="2" t="s">
        <v>14</v>
      </c>
      <c r="G91" s="2" t="s">
        <v>40</v>
      </c>
      <c r="H91" s="2" t="s">
        <v>44</v>
      </c>
      <c r="I91" s="2" t="s">
        <v>36</v>
      </c>
      <c r="J91" s="2">
        <f>YEAR(Table1[[#This Row],[Data]])</f>
        <v>2016</v>
      </c>
      <c r="K91" s="2" t="str">
        <f>TEXT(Table1[[#This Row],[Data]],"mm")</f>
        <v>04</v>
      </c>
    </row>
    <row r="92" spans="1:11">
      <c r="A92" s="3">
        <v>42476</v>
      </c>
      <c r="B92" s="2" t="s">
        <v>29</v>
      </c>
      <c r="C92" s="2" t="s">
        <v>69</v>
      </c>
      <c r="D92" s="2" t="s">
        <v>35</v>
      </c>
      <c r="E92" s="2" t="s">
        <v>13</v>
      </c>
      <c r="F92" s="2" t="s">
        <v>15</v>
      </c>
      <c r="G92" s="2" t="s">
        <v>40</v>
      </c>
      <c r="H92" s="2" t="s">
        <v>44</v>
      </c>
      <c r="I92" s="2" t="s">
        <v>36</v>
      </c>
      <c r="J92" s="2">
        <f>YEAR(Table1[[#This Row],[Data]])</f>
        <v>2016</v>
      </c>
      <c r="K92" s="2" t="str">
        <f>TEXT(Table1[[#This Row],[Data]],"mm")</f>
        <v>04</v>
      </c>
    </row>
    <row r="93" spans="1:11">
      <c r="A93" s="3">
        <v>42476</v>
      </c>
      <c r="B93" s="2" t="s">
        <v>29</v>
      </c>
      <c r="C93" s="2" t="s">
        <v>68</v>
      </c>
      <c r="D93" s="2" t="s">
        <v>35</v>
      </c>
      <c r="E93" s="2" t="s">
        <v>13</v>
      </c>
      <c r="F93" s="2" t="s">
        <v>15</v>
      </c>
      <c r="G93" s="2" t="s">
        <v>40</v>
      </c>
      <c r="H93" s="2" t="s">
        <v>44</v>
      </c>
      <c r="I93" s="2" t="s">
        <v>36</v>
      </c>
      <c r="J93" s="2">
        <f>YEAR(Table1[[#This Row],[Data]])</f>
        <v>2016</v>
      </c>
      <c r="K93" s="2" t="str">
        <f>TEXT(Table1[[#This Row],[Data]],"mm")</f>
        <v>04</v>
      </c>
    </row>
    <row r="94" spans="1:11">
      <c r="A94" s="3">
        <v>42475</v>
      </c>
      <c r="B94" s="2" t="s">
        <v>29</v>
      </c>
      <c r="C94" s="2" t="s">
        <v>68</v>
      </c>
      <c r="D94" s="2" t="s">
        <v>35</v>
      </c>
      <c r="E94" s="2" t="s">
        <v>13</v>
      </c>
      <c r="F94" s="2" t="s">
        <v>14</v>
      </c>
      <c r="G94" s="2" t="s">
        <v>40</v>
      </c>
      <c r="H94" s="2" t="s">
        <v>43</v>
      </c>
      <c r="I94" s="2" t="s">
        <v>36</v>
      </c>
      <c r="J94" s="2">
        <f>YEAR(Table1[[#This Row],[Data]])</f>
        <v>2016</v>
      </c>
      <c r="K94" s="2" t="str">
        <f>TEXT(Table1[[#This Row],[Data]],"mm")</f>
        <v>04</v>
      </c>
    </row>
    <row r="95" spans="1:11">
      <c r="A95" s="3">
        <v>42477</v>
      </c>
      <c r="B95" s="2" t="s">
        <v>30</v>
      </c>
      <c r="C95" s="2" t="s">
        <v>70</v>
      </c>
      <c r="D95" s="2" t="s">
        <v>34</v>
      </c>
      <c r="E95" s="2" t="s">
        <v>13</v>
      </c>
      <c r="F95" s="2" t="s">
        <v>16</v>
      </c>
      <c r="G95" s="2" t="s">
        <v>40</v>
      </c>
      <c r="H95" s="2" t="s">
        <v>43</v>
      </c>
      <c r="I95" s="2" t="s">
        <v>55</v>
      </c>
      <c r="J95" s="2">
        <f>YEAR(Table1[[#This Row],[Data]])</f>
        <v>2016</v>
      </c>
      <c r="K95" s="2" t="str">
        <f>TEXT(Table1[[#This Row],[Data]],"mm")</f>
        <v>04</v>
      </c>
    </row>
    <row r="96" spans="1:11">
      <c r="A96" s="3">
        <v>42478</v>
      </c>
      <c r="B96" s="2" t="s">
        <v>29</v>
      </c>
      <c r="C96" s="2" t="s">
        <v>68</v>
      </c>
      <c r="D96" s="2" t="s">
        <v>35</v>
      </c>
      <c r="E96" s="2" t="s">
        <v>13</v>
      </c>
      <c r="F96" s="2" t="s">
        <v>15</v>
      </c>
      <c r="G96" s="2" t="s">
        <v>40</v>
      </c>
      <c r="H96" s="2" t="s">
        <v>44</v>
      </c>
      <c r="I96" s="2" t="s">
        <v>36</v>
      </c>
      <c r="J96" s="2">
        <f>YEAR(Table1[[#This Row],[Data]])</f>
        <v>2016</v>
      </c>
      <c r="K96" s="2" t="str">
        <f>TEXT(Table1[[#This Row],[Data]],"mm")</f>
        <v>04</v>
      </c>
    </row>
    <row r="97" spans="1:11">
      <c r="A97" s="3">
        <v>42481</v>
      </c>
      <c r="B97" s="2" t="s">
        <v>30</v>
      </c>
      <c r="C97" s="2" t="s">
        <v>67</v>
      </c>
      <c r="D97" s="2" t="s">
        <v>35</v>
      </c>
      <c r="E97" s="2" t="s">
        <v>13</v>
      </c>
      <c r="F97" s="2" t="s">
        <v>17</v>
      </c>
      <c r="G97" s="2" t="s">
        <v>40</v>
      </c>
      <c r="H97" s="2" t="s">
        <v>43</v>
      </c>
      <c r="I97" s="2" t="s">
        <v>36</v>
      </c>
      <c r="J97" s="2">
        <f>YEAR(Table1[[#This Row],[Data]])</f>
        <v>2016</v>
      </c>
      <c r="K97" s="2" t="str">
        <f>TEXT(Table1[[#This Row],[Data]],"mm")</f>
        <v>04</v>
      </c>
    </row>
    <row r="98" spans="1:11">
      <c r="A98" s="3">
        <v>42482</v>
      </c>
      <c r="B98" s="2" t="s">
        <v>29</v>
      </c>
      <c r="C98" s="2" t="s">
        <v>66</v>
      </c>
      <c r="D98" s="2" t="s">
        <v>35</v>
      </c>
      <c r="E98" s="2" t="s">
        <v>13</v>
      </c>
      <c r="F98" s="2" t="s">
        <v>14</v>
      </c>
      <c r="G98" s="2" t="s">
        <v>40</v>
      </c>
      <c r="H98" s="2" t="s">
        <v>44</v>
      </c>
      <c r="I98" s="2" t="s">
        <v>36</v>
      </c>
      <c r="J98" s="2">
        <f>YEAR(Table1[[#This Row],[Data]])</f>
        <v>2016</v>
      </c>
      <c r="K98" s="2" t="str">
        <f>TEXT(Table1[[#This Row],[Data]],"mm")</f>
        <v>04</v>
      </c>
    </row>
    <row r="99" spans="1:11">
      <c r="A99" s="3">
        <v>42483</v>
      </c>
      <c r="B99" s="2" t="s">
        <v>29</v>
      </c>
      <c r="C99" s="2" t="s">
        <v>69</v>
      </c>
      <c r="D99" s="2" t="s">
        <v>35</v>
      </c>
      <c r="E99" s="2" t="s">
        <v>13</v>
      </c>
      <c r="F99" s="2" t="s">
        <v>15</v>
      </c>
      <c r="G99" s="2" t="s">
        <v>40</v>
      </c>
      <c r="H99" s="2" t="s">
        <v>43</v>
      </c>
      <c r="I99" s="2" t="s">
        <v>36</v>
      </c>
      <c r="J99" s="2">
        <f>YEAR(Table1[[#This Row],[Data]])</f>
        <v>2016</v>
      </c>
      <c r="K99" s="2" t="str">
        <f>TEXT(Table1[[#This Row],[Data]],"mm")</f>
        <v>04</v>
      </c>
    </row>
    <row r="100" spans="1:11">
      <c r="A100" s="3">
        <v>42482</v>
      </c>
      <c r="B100" s="2" t="s">
        <v>30</v>
      </c>
      <c r="C100" s="2" t="s">
        <v>70</v>
      </c>
      <c r="D100" s="2" t="s">
        <v>34</v>
      </c>
      <c r="E100" s="2" t="s">
        <v>14</v>
      </c>
      <c r="F100" s="2" t="s">
        <v>16</v>
      </c>
      <c r="G100" s="2" t="s">
        <v>40</v>
      </c>
      <c r="H100" s="2" t="s">
        <v>44</v>
      </c>
      <c r="I100" s="2" t="s">
        <v>76</v>
      </c>
      <c r="J100" s="2">
        <f>YEAR(Table1[[#This Row],[Data]])</f>
        <v>2016</v>
      </c>
      <c r="K100" s="2" t="str">
        <f>TEXT(Table1[[#This Row],[Data]],"mm")</f>
        <v>04</v>
      </c>
    </row>
    <row r="101" spans="1:11">
      <c r="A101" s="3">
        <v>42486</v>
      </c>
      <c r="B101" s="2" t="s">
        <v>30</v>
      </c>
      <c r="C101" s="2" t="s">
        <v>70</v>
      </c>
      <c r="D101" s="2" t="s">
        <v>34</v>
      </c>
      <c r="E101" s="2" t="s">
        <v>13</v>
      </c>
      <c r="F101" s="2" t="s">
        <v>14</v>
      </c>
      <c r="G101" s="2" t="s">
        <v>39</v>
      </c>
      <c r="H101" s="2" t="s">
        <v>44</v>
      </c>
      <c r="I101" s="2" t="s">
        <v>55</v>
      </c>
      <c r="J101" s="2">
        <f>YEAR(Table1[[#This Row],[Data]])</f>
        <v>2016</v>
      </c>
      <c r="K101" s="2" t="str">
        <f>TEXT(Table1[[#This Row],[Data]],"mm")</f>
        <v>04</v>
      </c>
    </row>
    <row r="102" spans="1:11">
      <c r="A102" s="3">
        <v>42488</v>
      </c>
      <c r="B102" s="2" t="s">
        <v>30</v>
      </c>
      <c r="C102" s="2" t="s">
        <v>70</v>
      </c>
      <c r="D102" s="2" t="s">
        <v>34</v>
      </c>
      <c r="E102" s="2" t="s">
        <v>13</v>
      </c>
      <c r="F102" s="2" t="s">
        <v>15</v>
      </c>
      <c r="G102" s="2" t="s">
        <v>40</v>
      </c>
      <c r="H102" s="2" t="s">
        <v>45</v>
      </c>
      <c r="I102" s="2" t="s">
        <v>54</v>
      </c>
      <c r="J102" s="2">
        <f>YEAR(Table1[[#This Row],[Data]])</f>
        <v>2016</v>
      </c>
      <c r="K102" s="2" t="str">
        <f>TEXT(Table1[[#This Row],[Data]],"mm")</f>
        <v>04</v>
      </c>
    </row>
    <row r="103" spans="1:11">
      <c r="A103" s="3">
        <v>42489</v>
      </c>
      <c r="B103" s="2" t="s">
        <v>29</v>
      </c>
      <c r="C103" s="2" t="s">
        <v>69</v>
      </c>
      <c r="D103" s="2" t="s">
        <v>35</v>
      </c>
      <c r="E103" s="2" t="s">
        <v>15</v>
      </c>
      <c r="F103" s="2" t="s">
        <v>16</v>
      </c>
      <c r="G103" s="2" t="s">
        <v>40</v>
      </c>
      <c r="H103" s="2" t="s">
        <v>44</v>
      </c>
      <c r="I103" s="2" t="s">
        <v>36</v>
      </c>
      <c r="J103" s="2">
        <f>YEAR(Table1[[#This Row],[Data]])</f>
        <v>2016</v>
      </c>
      <c r="K103" s="2" t="str">
        <f>TEXT(Table1[[#This Row],[Data]],"mm")</f>
        <v>04</v>
      </c>
    </row>
    <row r="104" spans="1:11">
      <c r="A104" s="3">
        <v>42490</v>
      </c>
      <c r="B104" s="2" t="s">
        <v>30</v>
      </c>
      <c r="C104" s="2" t="s">
        <v>70</v>
      </c>
      <c r="D104" s="2" t="s">
        <v>34</v>
      </c>
      <c r="E104" s="2" t="s">
        <v>13</v>
      </c>
      <c r="F104" s="2" t="s">
        <v>16</v>
      </c>
      <c r="G104" s="2" t="s">
        <v>40</v>
      </c>
      <c r="H104" s="2" t="s">
        <v>43</v>
      </c>
      <c r="I104" s="2" t="s">
        <v>51</v>
      </c>
      <c r="J104" s="2">
        <f>YEAR(Table1[[#This Row],[Data]])</f>
        <v>2016</v>
      </c>
      <c r="K104" s="2" t="str">
        <f>TEXT(Table1[[#This Row],[Data]],"mm")</f>
        <v>04</v>
      </c>
    </row>
    <row r="105" spans="1:11">
      <c r="A105" s="3">
        <v>42490</v>
      </c>
      <c r="B105" s="2" t="s">
        <v>29</v>
      </c>
      <c r="C105" s="2" t="s">
        <v>66</v>
      </c>
      <c r="D105" s="2" t="s">
        <v>35</v>
      </c>
      <c r="E105" s="2" t="s">
        <v>13</v>
      </c>
      <c r="F105" s="2" t="s">
        <v>14</v>
      </c>
      <c r="G105" s="2" t="s">
        <v>40</v>
      </c>
      <c r="H105" s="2" t="s">
        <v>43</v>
      </c>
      <c r="I105" s="2" t="s">
        <v>36</v>
      </c>
      <c r="J105" s="2">
        <f>YEAR(Table1[[#This Row],[Data]])</f>
        <v>2016</v>
      </c>
      <c r="K105" s="2" t="str">
        <f>TEXT(Table1[[#This Row],[Data]],"mm")</f>
        <v>04</v>
      </c>
    </row>
    <row r="106" spans="1:11">
      <c r="A106" s="3">
        <v>42490</v>
      </c>
      <c r="B106" s="2" t="s">
        <v>29</v>
      </c>
      <c r="C106" s="2" t="s">
        <v>68</v>
      </c>
      <c r="D106" s="2" t="s">
        <v>35</v>
      </c>
      <c r="E106" s="2" t="s">
        <v>16</v>
      </c>
      <c r="F106" s="2" t="s">
        <v>16</v>
      </c>
      <c r="G106" s="2" t="s">
        <v>40</v>
      </c>
      <c r="H106" s="2" t="s">
        <v>44</v>
      </c>
      <c r="I106" s="2" t="s">
        <v>36</v>
      </c>
      <c r="J106" s="2">
        <f>YEAR(Table1[[#This Row],[Data]])</f>
        <v>2016</v>
      </c>
      <c r="K106" s="2" t="str">
        <f>TEXT(Table1[[#This Row],[Data]],"mm")</f>
        <v>04</v>
      </c>
    </row>
    <row r="107" spans="1:11">
      <c r="A107" s="3">
        <v>42491</v>
      </c>
      <c r="B107" s="2" t="s">
        <v>29</v>
      </c>
      <c r="C107" s="2" t="s">
        <v>69</v>
      </c>
      <c r="D107" s="2" t="s">
        <v>35</v>
      </c>
      <c r="E107" s="2" t="s">
        <v>13</v>
      </c>
      <c r="F107" s="2" t="s">
        <v>16</v>
      </c>
      <c r="G107" s="2" t="s">
        <v>40</v>
      </c>
      <c r="H107" s="2" t="s">
        <v>44</v>
      </c>
      <c r="I107" s="2" t="s">
        <v>36</v>
      </c>
      <c r="J107" s="2">
        <f>YEAR(Table1[[#This Row],[Data]])</f>
        <v>2016</v>
      </c>
      <c r="K107" s="2" t="str">
        <f>TEXT(Table1[[#This Row],[Data]],"mm")</f>
        <v>05</v>
      </c>
    </row>
    <row r="108" spans="1:11">
      <c r="A108" s="3">
        <v>42492</v>
      </c>
      <c r="B108" s="2" t="s">
        <v>30</v>
      </c>
      <c r="C108" s="2" t="s">
        <v>70</v>
      </c>
      <c r="D108" s="2" t="s">
        <v>34</v>
      </c>
      <c r="E108" s="2" t="s">
        <v>13</v>
      </c>
      <c r="F108" s="2" t="s">
        <v>16</v>
      </c>
      <c r="G108" s="2" t="s">
        <v>39</v>
      </c>
      <c r="H108" s="2" t="s">
        <v>45</v>
      </c>
      <c r="I108" s="2" t="s">
        <v>54</v>
      </c>
      <c r="J108" s="2">
        <f>YEAR(Table1[[#This Row],[Data]])</f>
        <v>2016</v>
      </c>
      <c r="K108" s="2" t="str">
        <f>TEXT(Table1[[#This Row],[Data]],"mm")</f>
        <v>05</v>
      </c>
    </row>
    <row r="109" spans="1:11">
      <c r="A109" s="3">
        <v>42494</v>
      </c>
      <c r="B109" s="2" t="s">
        <v>31</v>
      </c>
      <c r="C109" s="2" t="s">
        <v>80</v>
      </c>
      <c r="D109" s="2" t="s">
        <v>36</v>
      </c>
      <c r="E109" s="2" t="s">
        <v>13</v>
      </c>
      <c r="F109" s="2" t="s">
        <v>13</v>
      </c>
      <c r="G109" s="2" t="s">
        <v>40</v>
      </c>
      <c r="H109" s="2" t="s">
        <v>44</v>
      </c>
      <c r="I109" s="2" t="s">
        <v>52</v>
      </c>
      <c r="J109" s="2">
        <f>YEAR(Table1[[#This Row],[Data]])</f>
        <v>2016</v>
      </c>
      <c r="K109" s="2" t="str">
        <f>TEXT(Table1[[#This Row],[Data]],"mm")</f>
        <v>05</v>
      </c>
    </row>
    <row r="110" spans="1:11">
      <c r="A110" s="3">
        <v>42493</v>
      </c>
      <c r="B110" s="2" t="s">
        <v>29</v>
      </c>
      <c r="C110" s="2" t="s">
        <v>69</v>
      </c>
      <c r="D110" s="2" t="s">
        <v>35</v>
      </c>
      <c r="E110" s="2" t="s">
        <v>14</v>
      </c>
      <c r="F110" s="2" t="s">
        <v>16</v>
      </c>
      <c r="G110" s="2" t="s">
        <v>40</v>
      </c>
      <c r="H110" s="2" t="s">
        <v>44</v>
      </c>
      <c r="I110" s="2" t="s">
        <v>36</v>
      </c>
      <c r="J110" s="2">
        <f>YEAR(Table1[[#This Row],[Data]])</f>
        <v>2016</v>
      </c>
      <c r="K110" s="2" t="str">
        <f>TEXT(Table1[[#This Row],[Data]],"mm")</f>
        <v>05</v>
      </c>
    </row>
    <row r="111" spans="1:11">
      <c r="A111" s="3">
        <v>42494</v>
      </c>
      <c r="B111" s="2" t="s">
        <v>29</v>
      </c>
      <c r="C111" s="2" t="s">
        <v>69</v>
      </c>
      <c r="D111" s="2" t="s">
        <v>35</v>
      </c>
      <c r="E111" s="2" t="s">
        <v>13</v>
      </c>
      <c r="F111" s="2" t="s">
        <v>15</v>
      </c>
      <c r="G111" s="2" t="s">
        <v>40</v>
      </c>
      <c r="H111" s="2" t="s">
        <v>43</v>
      </c>
      <c r="I111" s="2" t="s">
        <v>36</v>
      </c>
      <c r="J111" s="2">
        <f>YEAR(Table1[[#This Row],[Data]])</f>
        <v>2016</v>
      </c>
      <c r="K111" s="2" t="str">
        <f>TEXT(Table1[[#This Row],[Data]],"mm")</f>
        <v>05</v>
      </c>
    </row>
    <row r="112" spans="1:11">
      <c r="A112" s="3">
        <v>42494</v>
      </c>
      <c r="B112" s="2" t="s">
        <v>30</v>
      </c>
      <c r="C112" s="2" t="s">
        <v>70</v>
      </c>
      <c r="D112" s="2" t="s">
        <v>34</v>
      </c>
      <c r="E112" s="2" t="s">
        <v>13</v>
      </c>
      <c r="F112" s="2" t="s">
        <v>15</v>
      </c>
      <c r="G112" s="2" t="s">
        <v>39</v>
      </c>
      <c r="H112" s="2" t="s">
        <v>45</v>
      </c>
      <c r="I112" s="2" t="s">
        <v>54</v>
      </c>
      <c r="J112" s="2">
        <f>YEAR(Table1[[#This Row],[Data]])</f>
        <v>2016</v>
      </c>
      <c r="K112" s="2" t="str">
        <f>TEXT(Table1[[#This Row],[Data]],"mm")</f>
        <v>05</v>
      </c>
    </row>
    <row r="113" spans="1:11">
      <c r="A113" s="3">
        <v>42494</v>
      </c>
      <c r="B113" s="2" t="s">
        <v>30</v>
      </c>
      <c r="C113" s="2" t="s">
        <v>70</v>
      </c>
      <c r="D113" s="2" t="s">
        <v>34</v>
      </c>
      <c r="E113" s="2" t="s">
        <v>13</v>
      </c>
      <c r="F113" s="2" t="s">
        <v>15</v>
      </c>
      <c r="G113" s="2" t="s">
        <v>40</v>
      </c>
      <c r="H113" s="2" t="s">
        <v>45</v>
      </c>
      <c r="I113" s="2" t="s">
        <v>54</v>
      </c>
      <c r="J113" s="2">
        <f>YEAR(Table1[[#This Row],[Data]])</f>
        <v>2016</v>
      </c>
      <c r="K113" s="2" t="str">
        <f>TEXT(Table1[[#This Row],[Data]],"mm")</f>
        <v>05</v>
      </c>
    </row>
    <row r="114" spans="1:11">
      <c r="A114" s="3">
        <v>42495</v>
      </c>
      <c r="B114" s="2" t="s">
        <v>30</v>
      </c>
      <c r="C114" s="2" t="s">
        <v>70</v>
      </c>
      <c r="D114" s="2" t="s">
        <v>34</v>
      </c>
      <c r="E114" s="2" t="s">
        <v>13</v>
      </c>
      <c r="F114" s="2" t="s">
        <v>15</v>
      </c>
      <c r="G114" s="2" t="s">
        <v>40</v>
      </c>
      <c r="H114" s="2" t="s">
        <v>44</v>
      </c>
      <c r="I114" s="2" t="s">
        <v>52</v>
      </c>
      <c r="J114" s="2">
        <f>YEAR(Table1[[#This Row],[Data]])</f>
        <v>2016</v>
      </c>
      <c r="K114" s="2" t="str">
        <f>TEXT(Table1[[#This Row],[Data]],"mm")</f>
        <v>05</v>
      </c>
    </row>
    <row r="115" spans="1:11">
      <c r="A115" s="3">
        <v>42495</v>
      </c>
      <c r="B115" s="2" t="s">
        <v>30</v>
      </c>
      <c r="C115" s="2" t="s">
        <v>77</v>
      </c>
      <c r="D115" s="2" t="s">
        <v>34</v>
      </c>
      <c r="E115" s="2" t="s">
        <v>13</v>
      </c>
      <c r="F115" s="2" t="s">
        <v>14</v>
      </c>
      <c r="G115" s="2" t="s">
        <v>40</v>
      </c>
      <c r="H115" s="2" t="s">
        <v>45</v>
      </c>
      <c r="I115" s="2" t="s">
        <v>52</v>
      </c>
      <c r="J115" s="2">
        <f>YEAR(Table1[[#This Row],[Data]])</f>
        <v>2016</v>
      </c>
      <c r="K115" s="2" t="str">
        <f>TEXT(Table1[[#This Row],[Data]],"mm")</f>
        <v>05</v>
      </c>
    </row>
    <row r="116" spans="1:11">
      <c r="A116" s="3">
        <v>42501</v>
      </c>
      <c r="B116" s="2" t="s">
        <v>29</v>
      </c>
      <c r="C116" s="2" t="s">
        <v>68</v>
      </c>
      <c r="D116" s="2" t="s">
        <v>35</v>
      </c>
      <c r="E116" s="2" t="s">
        <v>13</v>
      </c>
      <c r="F116" s="2" t="s">
        <v>15</v>
      </c>
      <c r="G116" s="2" t="s">
        <v>40</v>
      </c>
      <c r="H116" s="2" t="s">
        <v>44</v>
      </c>
      <c r="I116" s="2" t="s">
        <v>36</v>
      </c>
      <c r="J116" s="2">
        <f>YEAR(Table1[[#This Row],[Data]])</f>
        <v>2016</v>
      </c>
      <c r="K116" s="2" t="str">
        <f>TEXT(Table1[[#This Row],[Data]],"mm")</f>
        <v>05</v>
      </c>
    </row>
    <row r="117" spans="1:11">
      <c r="A117" s="3">
        <v>42502</v>
      </c>
      <c r="B117" s="2" t="s">
        <v>29</v>
      </c>
      <c r="C117" s="2" t="s">
        <v>71</v>
      </c>
      <c r="D117" s="2" t="s">
        <v>34</v>
      </c>
      <c r="E117" s="2" t="s">
        <v>13</v>
      </c>
      <c r="F117" s="2" t="s">
        <v>14</v>
      </c>
      <c r="G117" s="2" t="s">
        <v>40</v>
      </c>
      <c r="H117" s="2" t="s">
        <v>45</v>
      </c>
      <c r="I117" s="2" t="s">
        <v>54</v>
      </c>
      <c r="J117" s="2">
        <f>YEAR(Table1[[#This Row],[Data]])</f>
        <v>2016</v>
      </c>
      <c r="K117" s="2" t="str">
        <f>TEXT(Table1[[#This Row],[Data]],"mm")</f>
        <v>05</v>
      </c>
    </row>
    <row r="118" spans="1:11">
      <c r="A118" s="3">
        <v>42501</v>
      </c>
      <c r="B118" s="2" t="s">
        <v>29</v>
      </c>
      <c r="C118" s="2" t="s">
        <v>66</v>
      </c>
      <c r="D118" s="2" t="s">
        <v>35</v>
      </c>
      <c r="E118" s="2" t="s">
        <v>13</v>
      </c>
      <c r="F118" s="2" t="s">
        <v>16</v>
      </c>
      <c r="G118" s="2" t="s">
        <v>40</v>
      </c>
      <c r="H118" s="2" t="s">
        <v>44</v>
      </c>
      <c r="I118" s="2" t="s">
        <v>36</v>
      </c>
      <c r="J118" s="2">
        <f>YEAR(Table1[[#This Row],[Data]])</f>
        <v>2016</v>
      </c>
      <c r="K118" s="2" t="str">
        <f>TEXT(Table1[[#This Row],[Data]],"mm")</f>
        <v>05</v>
      </c>
    </row>
    <row r="119" spans="1:11">
      <c r="A119" s="3">
        <v>42504</v>
      </c>
      <c r="B119" s="2" t="s">
        <v>29</v>
      </c>
      <c r="C119" s="2" t="s">
        <v>66</v>
      </c>
      <c r="D119" s="2" t="s">
        <v>35</v>
      </c>
      <c r="E119" s="2" t="s">
        <v>13</v>
      </c>
      <c r="F119" s="2" t="s">
        <v>16</v>
      </c>
      <c r="G119" s="2" t="s">
        <v>40</v>
      </c>
      <c r="H119" s="2" t="s">
        <v>44</v>
      </c>
      <c r="I119" s="2" t="s">
        <v>36</v>
      </c>
      <c r="J119" s="2">
        <f>YEAR(Table1[[#This Row],[Data]])</f>
        <v>2016</v>
      </c>
      <c r="K119" s="2" t="str">
        <f>TEXT(Table1[[#This Row],[Data]],"mm")</f>
        <v>05</v>
      </c>
    </row>
    <row r="120" spans="1:11">
      <c r="A120" s="3">
        <v>42507</v>
      </c>
      <c r="B120" s="2" t="s">
        <v>29</v>
      </c>
      <c r="C120" s="2" t="s">
        <v>83</v>
      </c>
      <c r="D120" s="2" t="s">
        <v>36</v>
      </c>
      <c r="E120" s="2" t="s">
        <v>13</v>
      </c>
      <c r="F120" s="2" t="s">
        <v>14</v>
      </c>
      <c r="G120" s="2" t="s">
        <v>40</v>
      </c>
      <c r="H120" s="2" t="s">
        <v>43</v>
      </c>
      <c r="I120" s="2" t="s">
        <v>36</v>
      </c>
      <c r="J120" s="2">
        <f>YEAR(Table1[[#This Row],[Data]])</f>
        <v>2016</v>
      </c>
      <c r="K120" s="2" t="str">
        <f>TEXT(Table1[[#This Row],[Data]],"mm")</f>
        <v>05</v>
      </c>
    </row>
    <row r="121" spans="1:11">
      <c r="A121" s="3">
        <v>42509</v>
      </c>
      <c r="B121" s="2" t="s">
        <v>29</v>
      </c>
      <c r="C121" s="2" t="s">
        <v>68</v>
      </c>
      <c r="D121" s="2" t="s">
        <v>35</v>
      </c>
      <c r="E121" s="2" t="s">
        <v>13</v>
      </c>
      <c r="F121" s="2" t="s">
        <v>16</v>
      </c>
      <c r="G121" s="2" t="s">
        <v>40</v>
      </c>
      <c r="H121" s="2" t="s">
        <v>45</v>
      </c>
      <c r="I121" s="2" t="s">
        <v>36</v>
      </c>
      <c r="J121" s="2">
        <f>YEAR(Table1[[#This Row],[Data]])</f>
        <v>2016</v>
      </c>
      <c r="K121" s="2" t="str">
        <f>TEXT(Table1[[#This Row],[Data]],"mm")</f>
        <v>05</v>
      </c>
    </row>
    <row r="122" spans="1:11">
      <c r="A122" s="3">
        <v>42508</v>
      </c>
      <c r="B122" s="2" t="s">
        <v>30</v>
      </c>
      <c r="C122" s="2" t="s">
        <v>70</v>
      </c>
      <c r="D122" s="2" t="s">
        <v>34</v>
      </c>
      <c r="E122" s="2" t="s">
        <v>13</v>
      </c>
      <c r="F122" s="2" t="s">
        <v>15</v>
      </c>
      <c r="G122" s="2" t="s">
        <v>40</v>
      </c>
      <c r="H122" s="2" t="s">
        <v>43</v>
      </c>
      <c r="I122" s="2" t="s">
        <v>36</v>
      </c>
      <c r="J122" s="2">
        <f>YEAR(Table1[[#This Row],[Data]])</f>
        <v>2016</v>
      </c>
      <c r="K122" s="2" t="str">
        <f>TEXT(Table1[[#This Row],[Data]],"mm")</f>
        <v>05</v>
      </c>
    </row>
    <row r="123" spans="1:11">
      <c r="A123" s="3">
        <v>42512</v>
      </c>
      <c r="B123" s="2" t="s">
        <v>30</v>
      </c>
      <c r="C123" s="2" t="s">
        <v>77</v>
      </c>
      <c r="D123" s="2" t="s">
        <v>34</v>
      </c>
      <c r="E123" s="2" t="s">
        <v>13</v>
      </c>
      <c r="F123" s="2" t="s">
        <v>15</v>
      </c>
      <c r="G123" s="2" t="s">
        <v>40</v>
      </c>
      <c r="H123" s="2" t="s">
        <v>43</v>
      </c>
      <c r="I123" s="2" t="s">
        <v>78</v>
      </c>
      <c r="J123" s="2">
        <f>YEAR(Table1[[#This Row],[Data]])</f>
        <v>2016</v>
      </c>
      <c r="K123" s="2" t="str">
        <f>TEXT(Table1[[#This Row],[Data]],"mm")</f>
        <v>05</v>
      </c>
    </row>
    <row r="124" spans="1:11">
      <c r="A124" s="3">
        <v>42510</v>
      </c>
      <c r="B124" s="2" t="s">
        <v>29</v>
      </c>
      <c r="C124" s="2" t="s">
        <v>71</v>
      </c>
      <c r="D124" s="2" t="s">
        <v>34</v>
      </c>
      <c r="E124" s="2" t="s">
        <v>13</v>
      </c>
      <c r="F124" s="2" t="s">
        <v>13</v>
      </c>
      <c r="G124" s="2" t="s">
        <v>40</v>
      </c>
      <c r="H124" s="2" t="s">
        <v>44</v>
      </c>
      <c r="I124" s="2" t="s">
        <v>62</v>
      </c>
      <c r="J124" s="2">
        <f>YEAR(Table1[[#This Row],[Data]])</f>
        <v>2016</v>
      </c>
      <c r="K124" s="2" t="str">
        <f>TEXT(Table1[[#This Row],[Data]],"mm")</f>
        <v>05</v>
      </c>
    </row>
    <row r="125" spans="1:11">
      <c r="A125" s="3">
        <v>42512</v>
      </c>
      <c r="B125" s="2" t="s">
        <v>29</v>
      </c>
      <c r="C125" s="2" t="s">
        <v>68</v>
      </c>
      <c r="D125" s="2" t="s">
        <v>35</v>
      </c>
      <c r="E125" s="2" t="s">
        <v>13</v>
      </c>
      <c r="F125" s="2" t="s">
        <v>16</v>
      </c>
      <c r="G125" s="2" t="s">
        <v>40</v>
      </c>
      <c r="H125" s="2" t="s">
        <v>44</v>
      </c>
      <c r="I125" s="2" t="s">
        <v>36</v>
      </c>
      <c r="J125" s="2">
        <f>YEAR(Table1[[#This Row],[Data]])</f>
        <v>2016</v>
      </c>
      <c r="K125" s="2" t="str">
        <f>TEXT(Table1[[#This Row],[Data]],"mm")</f>
        <v>05</v>
      </c>
    </row>
    <row r="126" spans="1:11">
      <c r="A126" s="3">
        <v>42514</v>
      </c>
      <c r="B126" s="2" t="s">
        <v>31</v>
      </c>
      <c r="C126" s="2" t="s">
        <v>80</v>
      </c>
      <c r="D126" s="2" t="s">
        <v>36</v>
      </c>
      <c r="E126" s="2" t="s">
        <v>16</v>
      </c>
      <c r="F126" s="2" t="s">
        <v>16</v>
      </c>
      <c r="G126" s="2" t="s">
        <v>40</v>
      </c>
      <c r="H126" s="2" t="s">
        <v>44</v>
      </c>
      <c r="I126" s="2" t="s">
        <v>58</v>
      </c>
      <c r="J126" s="2">
        <f>YEAR(Table1[[#This Row],[Data]])</f>
        <v>2016</v>
      </c>
      <c r="K126" s="2" t="str">
        <f>TEXT(Table1[[#This Row],[Data]],"mm")</f>
        <v>05</v>
      </c>
    </row>
    <row r="127" spans="1:11">
      <c r="A127" s="3">
        <v>42502</v>
      </c>
      <c r="B127" s="2" t="s">
        <v>29</v>
      </c>
      <c r="C127" s="2" t="s">
        <v>69</v>
      </c>
      <c r="D127" s="2" t="s">
        <v>35</v>
      </c>
      <c r="E127" s="2" t="s">
        <v>13</v>
      </c>
      <c r="F127" s="2" t="s">
        <v>15</v>
      </c>
      <c r="G127" s="2" t="s">
        <v>40</v>
      </c>
      <c r="H127" s="2" t="s">
        <v>43</v>
      </c>
      <c r="I127" s="2" t="s">
        <v>36</v>
      </c>
      <c r="J127" s="2">
        <f>YEAR(Table1[[#This Row],[Data]])</f>
        <v>2016</v>
      </c>
      <c r="K127" s="2" t="str">
        <f>TEXT(Table1[[#This Row],[Data]],"mm")</f>
        <v>05</v>
      </c>
    </row>
    <row r="128" spans="1:11">
      <c r="A128" s="3">
        <v>42515</v>
      </c>
      <c r="B128" s="2" t="s">
        <v>29</v>
      </c>
      <c r="C128" s="2" t="s">
        <v>69</v>
      </c>
      <c r="D128" s="2" t="s">
        <v>35</v>
      </c>
      <c r="E128" s="2" t="s">
        <v>14</v>
      </c>
      <c r="F128" s="2" t="s">
        <v>15</v>
      </c>
      <c r="G128" s="2" t="s">
        <v>40</v>
      </c>
      <c r="H128" s="2" t="s">
        <v>43</v>
      </c>
      <c r="I128" s="2" t="s">
        <v>36</v>
      </c>
      <c r="J128" s="2">
        <f>YEAR(Table1[[#This Row],[Data]])</f>
        <v>2016</v>
      </c>
      <c r="K128" s="2" t="str">
        <f>TEXT(Table1[[#This Row],[Data]],"mm")</f>
        <v>05</v>
      </c>
    </row>
    <row r="129" spans="1:11">
      <c r="A129" s="3">
        <v>42517</v>
      </c>
      <c r="B129" s="2" t="s">
        <v>30</v>
      </c>
      <c r="C129" s="2" t="s">
        <v>67</v>
      </c>
      <c r="D129" s="2" t="s">
        <v>35</v>
      </c>
      <c r="E129" s="2" t="s">
        <v>13</v>
      </c>
      <c r="F129" s="2" t="s">
        <v>17</v>
      </c>
      <c r="G129" s="2" t="s">
        <v>40</v>
      </c>
      <c r="H129" s="2" t="s">
        <v>43</v>
      </c>
      <c r="I129" s="2" t="s">
        <v>36</v>
      </c>
      <c r="J129" s="2">
        <f>YEAR(Table1[[#This Row],[Data]])</f>
        <v>2016</v>
      </c>
      <c r="K129" s="2" t="str">
        <f>TEXT(Table1[[#This Row],[Data]],"mm")</f>
        <v>05</v>
      </c>
    </row>
    <row r="130" spans="1:11">
      <c r="A130" s="3">
        <v>42515</v>
      </c>
      <c r="B130" s="2" t="s">
        <v>31</v>
      </c>
      <c r="C130" s="2" t="s">
        <v>80</v>
      </c>
      <c r="D130" s="2" t="s">
        <v>36</v>
      </c>
      <c r="E130" s="2" t="s">
        <v>13</v>
      </c>
      <c r="F130" s="2" t="s">
        <v>13</v>
      </c>
      <c r="G130" s="2" t="s">
        <v>40</v>
      </c>
      <c r="H130" s="2" t="s">
        <v>44</v>
      </c>
      <c r="I130" s="2" t="s">
        <v>63</v>
      </c>
      <c r="J130" s="2">
        <f>YEAR(Table1[[#This Row],[Data]])</f>
        <v>2016</v>
      </c>
      <c r="K130" s="2" t="str">
        <f>TEXT(Table1[[#This Row],[Data]],"mm")</f>
        <v>05</v>
      </c>
    </row>
    <row r="131" spans="1:11">
      <c r="A131" s="3">
        <v>42516</v>
      </c>
      <c r="B131" s="2" t="s">
        <v>31</v>
      </c>
      <c r="C131" s="2" t="s">
        <v>80</v>
      </c>
      <c r="D131" s="2" t="s">
        <v>36</v>
      </c>
      <c r="E131" s="2" t="s">
        <v>13</v>
      </c>
      <c r="F131" s="2" t="s">
        <v>13</v>
      </c>
      <c r="G131" s="2" t="s">
        <v>40</v>
      </c>
      <c r="H131" s="2" t="s">
        <v>44</v>
      </c>
      <c r="I131" s="2" t="s">
        <v>63</v>
      </c>
      <c r="J131" s="2">
        <f>YEAR(Table1[[#This Row],[Data]])</f>
        <v>2016</v>
      </c>
      <c r="K131" s="2" t="str">
        <f>TEXT(Table1[[#This Row],[Data]],"mm")</f>
        <v>05</v>
      </c>
    </row>
    <row r="132" spans="1:11">
      <c r="A132" s="3">
        <v>42516</v>
      </c>
      <c r="B132" s="2" t="s">
        <v>31</v>
      </c>
      <c r="C132" s="2" t="s">
        <v>80</v>
      </c>
      <c r="D132" s="2" t="s">
        <v>36</v>
      </c>
      <c r="E132" s="2" t="s">
        <v>13</v>
      </c>
      <c r="F132" s="2" t="s">
        <v>13</v>
      </c>
      <c r="G132" s="2" t="s">
        <v>40</v>
      </c>
      <c r="H132" s="2" t="s">
        <v>43</v>
      </c>
      <c r="I132" s="2" t="s">
        <v>36</v>
      </c>
      <c r="J132" s="2">
        <f>YEAR(Table1[[#This Row],[Data]])</f>
        <v>2016</v>
      </c>
      <c r="K132" s="2" t="str">
        <f>TEXT(Table1[[#This Row],[Data]],"mm")</f>
        <v>05</v>
      </c>
    </row>
    <row r="133" spans="1:11">
      <c r="A133" s="3">
        <v>42522</v>
      </c>
      <c r="B133" s="2" t="s">
        <v>30</v>
      </c>
      <c r="C133" s="2" t="s">
        <v>70</v>
      </c>
      <c r="D133" s="2" t="s">
        <v>34</v>
      </c>
      <c r="E133" s="2" t="s">
        <v>13</v>
      </c>
      <c r="F133" s="2" t="s">
        <v>15</v>
      </c>
      <c r="G133" s="2" t="s">
        <v>40</v>
      </c>
      <c r="H133" s="2" t="s">
        <v>43</v>
      </c>
      <c r="I133" s="2" t="s">
        <v>55</v>
      </c>
      <c r="J133" s="2">
        <f>YEAR(Table1[[#This Row],[Data]])</f>
        <v>2016</v>
      </c>
      <c r="K133" s="2" t="str">
        <f>TEXT(Table1[[#This Row],[Data]],"mm")</f>
        <v>06</v>
      </c>
    </row>
    <row r="134" spans="1:11">
      <c r="A134" s="3">
        <v>42523</v>
      </c>
      <c r="B134" s="2" t="s">
        <v>30</v>
      </c>
      <c r="C134" s="2" t="s">
        <v>70</v>
      </c>
      <c r="D134" s="2" t="s">
        <v>34</v>
      </c>
      <c r="E134" s="2" t="s">
        <v>13</v>
      </c>
      <c r="F134" s="2" t="s">
        <v>15</v>
      </c>
      <c r="G134" s="2" t="s">
        <v>40</v>
      </c>
      <c r="H134" s="2" t="s">
        <v>43</v>
      </c>
      <c r="I134" s="2" t="s">
        <v>55</v>
      </c>
      <c r="J134" s="2">
        <f>YEAR(Table1[[#This Row],[Data]])</f>
        <v>2016</v>
      </c>
      <c r="K134" s="2" t="str">
        <f>TEXT(Table1[[#This Row],[Data]],"mm")</f>
        <v>06</v>
      </c>
    </row>
    <row r="135" spans="1:11">
      <c r="A135" s="3">
        <v>42524</v>
      </c>
      <c r="B135" s="2" t="s">
        <v>29</v>
      </c>
      <c r="C135" s="2" t="s">
        <v>66</v>
      </c>
      <c r="D135" s="2" t="s">
        <v>35</v>
      </c>
      <c r="E135" s="2" t="s">
        <v>13</v>
      </c>
      <c r="F135" s="2" t="s">
        <v>14</v>
      </c>
      <c r="G135" s="2" t="s">
        <v>40</v>
      </c>
      <c r="H135" s="2" t="s">
        <v>44</v>
      </c>
      <c r="I135" s="2" t="s">
        <v>36</v>
      </c>
      <c r="J135" s="2">
        <f>YEAR(Table1[[#This Row],[Data]])</f>
        <v>2016</v>
      </c>
      <c r="K135" s="2" t="str">
        <f>TEXT(Table1[[#This Row],[Data]],"mm")</f>
        <v>06</v>
      </c>
    </row>
    <row r="136" spans="1:11">
      <c r="A136" s="3">
        <v>42525</v>
      </c>
      <c r="B136" s="2" t="s">
        <v>29</v>
      </c>
      <c r="C136" s="2" t="s">
        <v>69</v>
      </c>
      <c r="D136" s="2" t="s">
        <v>35</v>
      </c>
      <c r="E136" s="2" t="s">
        <v>17</v>
      </c>
      <c r="F136" s="2" t="s">
        <v>17</v>
      </c>
      <c r="G136" s="2" t="s">
        <v>40</v>
      </c>
      <c r="H136" s="2" t="s">
        <v>44</v>
      </c>
      <c r="I136" s="2" t="s">
        <v>36</v>
      </c>
      <c r="J136" s="2">
        <f>YEAR(Table1[[#This Row],[Data]])</f>
        <v>2016</v>
      </c>
      <c r="K136" s="2" t="str">
        <f>TEXT(Table1[[#This Row],[Data]],"mm")</f>
        <v>06</v>
      </c>
    </row>
    <row r="137" spans="1:11">
      <c r="A137" s="3">
        <v>42524</v>
      </c>
      <c r="B137" s="2" t="s">
        <v>31</v>
      </c>
      <c r="C137" s="2" t="s">
        <v>80</v>
      </c>
      <c r="D137" s="2" t="s">
        <v>36</v>
      </c>
      <c r="E137" s="2" t="s">
        <v>14</v>
      </c>
      <c r="F137" s="2" t="s">
        <v>14</v>
      </c>
      <c r="G137" s="2" t="s">
        <v>40</v>
      </c>
      <c r="H137" s="2" t="s">
        <v>44</v>
      </c>
      <c r="I137" s="2" t="s">
        <v>36</v>
      </c>
      <c r="J137" s="2">
        <f>YEAR(Table1[[#This Row],[Data]])</f>
        <v>2016</v>
      </c>
      <c r="K137" s="2" t="str">
        <f>TEXT(Table1[[#This Row],[Data]],"mm")</f>
        <v>06</v>
      </c>
    </row>
    <row r="138" spans="1:11">
      <c r="A138" s="3">
        <v>42526</v>
      </c>
      <c r="B138" s="2" t="s">
        <v>29</v>
      </c>
      <c r="C138" s="2" t="s">
        <v>68</v>
      </c>
      <c r="D138" s="2" t="s">
        <v>35</v>
      </c>
      <c r="E138" s="2" t="s">
        <v>13</v>
      </c>
      <c r="F138" s="2" t="s">
        <v>15</v>
      </c>
      <c r="G138" s="2" t="s">
        <v>40</v>
      </c>
      <c r="H138" s="2" t="s">
        <v>43</v>
      </c>
      <c r="I138" s="2" t="s">
        <v>36</v>
      </c>
      <c r="J138" s="2">
        <f>YEAR(Table1[[#This Row],[Data]])</f>
        <v>2016</v>
      </c>
      <c r="K138" s="2" t="str">
        <f>TEXT(Table1[[#This Row],[Data]],"mm")</f>
        <v>06</v>
      </c>
    </row>
    <row r="139" spans="1:11">
      <c r="A139" s="3">
        <v>42526</v>
      </c>
      <c r="B139" s="2" t="s">
        <v>29</v>
      </c>
      <c r="C139" s="2" t="s">
        <v>71</v>
      </c>
      <c r="D139" s="2" t="s">
        <v>34</v>
      </c>
      <c r="E139" s="2" t="s">
        <v>13</v>
      </c>
      <c r="F139" s="2" t="s">
        <v>13</v>
      </c>
      <c r="G139" s="2" t="s">
        <v>40</v>
      </c>
      <c r="H139" s="2" t="s">
        <v>43</v>
      </c>
      <c r="I139" s="2" t="s">
        <v>84</v>
      </c>
      <c r="J139" s="2">
        <f>YEAR(Table1[[#This Row],[Data]])</f>
        <v>2016</v>
      </c>
      <c r="K139" s="2" t="str">
        <f>TEXT(Table1[[#This Row],[Data]],"mm")</f>
        <v>06</v>
      </c>
    </row>
    <row r="140" spans="1:11">
      <c r="A140" s="3">
        <v>42529</v>
      </c>
      <c r="B140" s="2" t="s">
        <v>29</v>
      </c>
      <c r="C140" s="2" t="s">
        <v>69</v>
      </c>
      <c r="D140" s="2" t="s">
        <v>35</v>
      </c>
      <c r="E140" s="2" t="s">
        <v>13</v>
      </c>
      <c r="F140" s="2" t="s">
        <v>15</v>
      </c>
      <c r="G140" s="2" t="s">
        <v>40</v>
      </c>
      <c r="H140" s="2" t="s">
        <v>44</v>
      </c>
      <c r="I140" s="2" t="s">
        <v>36</v>
      </c>
      <c r="J140" s="2">
        <f>YEAR(Table1[[#This Row],[Data]])</f>
        <v>2016</v>
      </c>
      <c r="K140" s="2" t="str">
        <f>TEXT(Table1[[#This Row],[Data]],"mm")</f>
        <v>06</v>
      </c>
    </row>
    <row r="141" spans="1:11">
      <c r="A141" s="3">
        <v>42528</v>
      </c>
      <c r="B141" s="2" t="s">
        <v>29</v>
      </c>
      <c r="C141" s="2" t="s">
        <v>66</v>
      </c>
      <c r="D141" s="2" t="s">
        <v>35</v>
      </c>
      <c r="E141" s="2" t="s">
        <v>13</v>
      </c>
      <c r="F141" s="2" t="s">
        <v>13</v>
      </c>
      <c r="G141" s="2" t="s">
        <v>40</v>
      </c>
      <c r="H141" s="2" t="s">
        <v>43</v>
      </c>
      <c r="I141" s="2" t="s">
        <v>36</v>
      </c>
      <c r="J141" s="2">
        <f>YEAR(Table1[[#This Row],[Data]])</f>
        <v>2016</v>
      </c>
      <c r="K141" s="2" t="str">
        <f>TEXT(Table1[[#This Row],[Data]],"mm")</f>
        <v>06</v>
      </c>
    </row>
    <row r="142" spans="1:11">
      <c r="A142" s="3">
        <v>42528</v>
      </c>
      <c r="B142" s="2" t="s">
        <v>29</v>
      </c>
      <c r="C142" s="2" t="s">
        <v>68</v>
      </c>
      <c r="D142" s="2" t="s">
        <v>35</v>
      </c>
      <c r="E142" s="2" t="s">
        <v>13</v>
      </c>
      <c r="F142" s="2" t="s">
        <v>15</v>
      </c>
      <c r="G142" s="2" t="s">
        <v>40</v>
      </c>
      <c r="H142" s="2" t="s">
        <v>44</v>
      </c>
      <c r="I142" s="2" t="s">
        <v>36</v>
      </c>
      <c r="J142" s="2">
        <f>YEAR(Table1[[#This Row],[Data]])</f>
        <v>2016</v>
      </c>
      <c r="K142" s="2" t="str">
        <f>TEXT(Table1[[#This Row],[Data]],"mm")</f>
        <v>06</v>
      </c>
    </row>
    <row r="143" spans="1:11">
      <c r="A143" s="3">
        <v>42529</v>
      </c>
      <c r="B143" s="2" t="s">
        <v>29</v>
      </c>
      <c r="C143" s="2" t="s">
        <v>71</v>
      </c>
      <c r="D143" s="2" t="s">
        <v>34</v>
      </c>
      <c r="E143" s="2" t="s">
        <v>16</v>
      </c>
      <c r="F143" s="2" t="s">
        <v>16</v>
      </c>
      <c r="G143" s="2" t="s">
        <v>40</v>
      </c>
      <c r="H143" s="2" t="s">
        <v>43</v>
      </c>
      <c r="I143" s="2" t="s">
        <v>62</v>
      </c>
      <c r="J143" s="2">
        <f>YEAR(Table1[[#This Row],[Data]])</f>
        <v>2016</v>
      </c>
      <c r="K143" s="2" t="str">
        <f>TEXT(Table1[[#This Row],[Data]],"mm")</f>
        <v>06</v>
      </c>
    </row>
    <row r="144" spans="1:11">
      <c r="A144" s="3">
        <v>42529</v>
      </c>
      <c r="B144" s="2" t="s">
        <v>31</v>
      </c>
      <c r="C144" s="2" t="s">
        <v>80</v>
      </c>
      <c r="D144" s="2" t="s">
        <v>36</v>
      </c>
      <c r="E144" s="2" t="s">
        <v>13</v>
      </c>
      <c r="F144" s="2" t="s">
        <v>13</v>
      </c>
      <c r="G144" s="2" t="s">
        <v>40</v>
      </c>
      <c r="H144" s="2" t="s">
        <v>44</v>
      </c>
      <c r="I144" s="2" t="s">
        <v>63</v>
      </c>
      <c r="J144" s="2">
        <f>YEAR(Table1[[#This Row],[Data]])</f>
        <v>2016</v>
      </c>
      <c r="K144" s="2" t="str">
        <f>TEXT(Table1[[#This Row],[Data]],"mm")</f>
        <v>06</v>
      </c>
    </row>
    <row r="145" spans="1:11">
      <c r="A145" s="3">
        <v>42529</v>
      </c>
      <c r="B145" s="2" t="s">
        <v>31</v>
      </c>
      <c r="C145" s="2" t="s">
        <v>80</v>
      </c>
      <c r="D145" s="2" t="s">
        <v>36</v>
      </c>
      <c r="E145" s="2" t="s">
        <v>13</v>
      </c>
      <c r="F145" s="2" t="s">
        <v>13</v>
      </c>
      <c r="G145" s="2" t="s">
        <v>40</v>
      </c>
      <c r="H145" s="2" t="s">
        <v>44</v>
      </c>
      <c r="I145" s="2" t="s">
        <v>36</v>
      </c>
      <c r="J145" s="2">
        <f>YEAR(Table1[[#This Row],[Data]])</f>
        <v>2016</v>
      </c>
      <c r="K145" s="2" t="str">
        <f>TEXT(Table1[[#This Row],[Data]],"mm")</f>
        <v>06</v>
      </c>
    </row>
    <row r="146" spans="1:11">
      <c r="A146" s="3">
        <v>42531</v>
      </c>
      <c r="B146" s="2" t="s">
        <v>30</v>
      </c>
      <c r="C146" s="2" t="s">
        <v>70</v>
      </c>
      <c r="D146" s="2" t="s">
        <v>34</v>
      </c>
      <c r="E146" s="2" t="s">
        <v>13</v>
      </c>
      <c r="F146" s="2" t="s">
        <v>15</v>
      </c>
      <c r="G146" s="2" t="s">
        <v>40</v>
      </c>
      <c r="H146" s="2" t="s">
        <v>45</v>
      </c>
      <c r="I146" s="2" t="s">
        <v>52</v>
      </c>
      <c r="J146" s="2">
        <f>YEAR(Table1[[#This Row],[Data]])</f>
        <v>2016</v>
      </c>
      <c r="K146" s="2" t="str">
        <f>TEXT(Table1[[#This Row],[Data]],"mm")</f>
        <v>06</v>
      </c>
    </row>
    <row r="147" spans="1:11">
      <c r="A147" s="3">
        <v>42534</v>
      </c>
      <c r="B147" s="2" t="s">
        <v>29</v>
      </c>
      <c r="C147" s="2" t="s">
        <v>66</v>
      </c>
      <c r="D147" s="2" t="s">
        <v>35</v>
      </c>
      <c r="E147" s="2" t="s">
        <v>13</v>
      </c>
      <c r="F147" s="2" t="s">
        <v>16</v>
      </c>
      <c r="G147" s="2" t="s">
        <v>40</v>
      </c>
      <c r="H147" s="2" t="s">
        <v>43</v>
      </c>
      <c r="I147" s="2" t="s">
        <v>36</v>
      </c>
      <c r="J147" s="2">
        <f>YEAR(Table1[[#This Row],[Data]])</f>
        <v>2016</v>
      </c>
      <c r="K147" s="2" t="str">
        <f>TEXT(Table1[[#This Row],[Data]],"mm")</f>
        <v>06</v>
      </c>
    </row>
    <row r="148" spans="1:11">
      <c r="A148" s="3">
        <v>42537</v>
      </c>
      <c r="B148" s="2" t="s">
        <v>29</v>
      </c>
      <c r="C148" s="2" t="s">
        <v>68</v>
      </c>
      <c r="D148" s="2" t="s">
        <v>35</v>
      </c>
      <c r="E148" s="2" t="s">
        <v>13</v>
      </c>
      <c r="F148" s="2" t="s">
        <v>16</v>
      </c>
      <c r="G148" s="2" t="s">
        <v>40</v>
      </c>
      <c r="H148" s="2" t="s">
        <v>44</v>
      </c>
      <c r="I148" s="2" t="s">
        <v>36</v>
      </c>
      <c r="J148" s="2">
        <f>YEAR(Table1[[#This Row],[Data]])</f>
        <v>2016</v>
      </c>
      <c r="K148" s="2" t="str">
        <f>TEXT(Table1[[#This Row],[Data]],"mm")</f>
        <v>06</v>
      </c>
    </row>
    <row r="149" spans="1:11">
      <c r="A149" s="3">
        <v>42537</v>
      </c>
      <c r="B149" s="2" t="s">
        <v>31</v>
      </c>
      <c r="C149" s="2" t="s">
        <v>80</v>
      </c>
      <c r="D149" s="2" t="s">
        <v>36</v>
      </c>
      <c r="E149" s="2" t="s">
        <v>13</v>
      </c>
      <c r="F149" s="2" t="s">
        <v>13</v>
      </c>
      <c r="G149" s="2" t="s">
        <v>40</v>
      </c>
      <c r="H149" s="2" t="s">
        <v>44</v>
      </c>
      <c r="I149" s="2" t="s">
        <v>63</v>
      </c>
      <c r="J149" s="2">
        <f>YEAR(Table1[[#This Row],[Data]])</f>
        <v>2016</v>
      </c>
      <c r="K149" s="2" t="str">
        <f>TEXT(Table1[[#This Row],[Data]],"mm")</f>
        <v>06</v>
      </c>
    </row>
    <row r="150" spans="1:11">
      <c r="A150" s="3">
        <v>42539</v>
      </c>
      <c r="B150" s="2" t="s">
        <v>31</v>
      </c>
      <c r="C150" s="2" t="s">
        <v>80</v>
      </c>
      <c r="D150" s="2" t="s">
        <v>36</v>
      </c>
      <c r="E150" s="2" t="s">
        <v>13</v>
      </c>
      <c r="F150" s="2" t="s">
        <v>13</v>
      </c>
      <c r="G150" s="2" t="s">
        <v>40</v>
      </c>
      <c r="H150" s="2" t="s">
        <v>43</v>
      </c>
      <c r="I150" s="2" t="s">
        <v>63</v>
      </c>
      <c r="J150" s="2">
        <f>YEAR(Table1[[#This Row],[Data]])</f>
        <v>2016</v>
      </c>
      <c r="K150" s="2" t="str">
        <f>TEXT(Table1[[#This Row],[Data]],"mm")</f>
        <v>06</v>
      </c>
    </row>
    <row r="151" spans="1:11">
      <c r="A151" s="3">
        <v>42539</v>
      </c>
      <c r="B151" s="2" t="s">
        <v>31</v>
      </c>
      <c r="C151" s="2" t="s">
        <v>80</v>
      </c>
      <c r="D151" s="2" t="s">
        <v>36</v>
      </c>
      <c r="E151" s="2" t="s">
        <v>13</v>
      </c>
      <c r="F151" s="2" t="s">
        <v>13</v>
      </c>
      <c r="G151" s="2" t="s">
        <v>40</v>
      </c>
      <c r="H151" s="2" t="s">
        <v>44</v>
      </c>
      <c r="I151" s="2" t="s">
        <v>63</v>
      </c>
      <c r="J151" s="2">
        <f>YEAR(Table1[[#This Row],[Data]])</f>
        <v>2016</v>
      </c>
      <c r="K151" s="2" t="str">
        <f>TEXT(Table1[[#This Row],[Data]],"mm")</f>
        <v>06</v>
      </c>
    </row>
    <row r="152" spans="1:11">
      <c r="A152" s="3">
        <v>42538</v>
      </c>
      <c r="B152" s="2" t="s">
        <v>30</v>
      </c>
      <c r="C152" s="2" t="s">
        <v>77</v>
      </c>
      <c r="D152" s="2" t="s">
        <v>34</v>
      </c>
      <c r="E152" s="2" t="s">
        <v>16</v>
      </c>
      <c r="F152" s="2" t="s">
        <v>17</v>
      </c>
      <c r="G152" s="2" t="s">
        <v>40</v>
      </c>
      <c r="H152" s="2" t="s">
        <v>43</v>
      </c>
      <c r="I152" s="2" t="s">
        <v>85</v>
      </c>
      <c r="J152" s="2">
        <f>YEAR(Table1[[#This Row],[Data]])</f>
        <v>2016</v>
      </c>
      <c r="K152" s="2" t="str">
        <f>TEXT(Table1[[#This Row],[Data]],"mm")</f>
        <v>06</v>
      </c>
    </row>
    <row r="153" spans="1:11">
      <c r="A153" s="3">
        <v>42538</v>
      </c>
      <c r="B153" s="2" t="s">
        <v>30</v>
      </c>
      <c r="C153" s="2" t="s">
        <v>77</v>
      </c>
      <c r="D153" s="2" t="s">
        <v>34</v>
      </c>
      <c r="E153" s="2" t="s">
        <v>16</v>
      </c>
      <c r="F153" s="2" t="s">
        <v>17</v>
      </c>
      <c r="G153" s="2" t="s">
        <v>40</v>
      </c>
      <c r="H153" s="2" t="s">
        <v>43</v>
      </c>
      <c r="I153" s="2" t="s">
        <v>86</v>
      </c>
      <c r="J153" s="2">
        <f>YEAR(Table1[[#This Row],[Data]])</f>
        <v>2016</v>
      </c>
      <c r="K153" s="2" t="str">
        <f>TEXT(Table1[[#This Row],[Data]],"mm")</f>
        <v>06</v>
      </c>
    </row>
    <row r="154" spans="1:11">
      <c r="A154" s="3">
        <v>42538</v>
      </c>
      <c r="B154" s="2" t="s">
        <v>30</v>
      </c>
      <c r="C154" s="2" t="s">
        <v>77</v>
      </c>
      <c r="D154" s="2" t="s">
        <v>34</v>
      </c>
      <c r="E154" s="2" t="s">
        <v>17</v>
      </c>
      <c r="F154" s="2" t="s">
        <v>17</v>
      </c>
      <c r="G154" s="2" t="s">
        <v>40</v>
      </c>
      <c r="H154" s="2" t="s">
        <v>43</v>
      </c>
      <c r="I154" s="2" t="s">
        <v>86</v>
      </c>
      <c r="J154" s="2">
        <f>YEAR(Table1[[#This Row],[Data]])</f>
        <v>2016</v>
      </c>
      <c r="K154" s="2" t="str">
        <f>TEXT(Table1[[#This Row],[Data]],"mm")</f>
        <v>06</v>
      </c>
    </row>
    <row r="155" spans="1:11">
      <c r="A155" s="3">
        <v>42540</v>
      </c>
      <c r="B155" s="2" t="s">
        <v>29</v>
      </c>
      <c r="C155" s="2" t="s">
        <v>68</v>
      </c>
      <c r="D155" s="2" t="s">
        <v>35</v>
      </c>
      <c r="E155" s="2" t="s">
        <v>16</v>
      </c>
      <c r="F155" s="2" t="s">
        <v>16</v>
      </c>
      <c r="G155" s="2" t="s">
        <v>40</v>
      </c>
      <c r="H155" s="2" t="s">
        <v>44</v>
      </c>
      <c r="I155" s="2" t="s">
        <v>36</v>
      </c>
      <c r="J155" s="2">
        <f>YEAR(Table1[[#This Row],[Data]])</f>
        <v>2016</v>
      </c>
      <c r="K155" s="2" t="str">
        <f>TEXT(Table1[[#This Row],[Data]],"mm")</f>
        <v>06</v>
      </c>
    </row>
    <row r="156" spans="1:11">
      <c r="A156" s="3">
        <v>42542</v>
      </c>
      <c r="B156" s="2" t="s">
        <v>29</v>
      </c>
      <c r="C156" s="2" t="s">
        <v>66</v>
      </c>
      <c r="D156" s="2" t="s">
        <v>35</v>
      </c>
      <c r="E156" s="2" t="s">
        <v>13</v>
      </c>
      <c r="F156" s="2" t="s">
        <v>15</v>
      </c>
      <c r="G156" s="2" t="s">
        <v>40</v>
      </c>
      <c r="H156" s="2" t="s">
        <v>44</v>
      </c>
      <c r="I156" s="2" t="s">
        <v>36</v>
      </c>
      <c r="J156" s="2">
        <f>YEAR(Table1[[#This Row],[Data]])</f>
        <v>2016</v>
      </c>
      <c r="K156" s="2" t="str">
        <f>TEXT(Table1[[#This Row],[Data]],"mm")</f>
        <v>06</v>
      </c>
    </row>
    <row r="157" spans="1:11">
      <c r="A157" s="3">
        <v>42543</v>
      </c>
      <c r="B157" s="2" t="s">
        <v>29</v>
      </c>
      <c r="C157" s="2" t="s">
        <v>68</v>
      </c>
      <c r="D157" s="2" t="s">
        <v>35</v>
      </c>
      <c r="E157" s="2" t="s">
        <v>13</v>
      </c>
      <c r="F157" s="2" t="s">
        <v>15</v>
      </c>
      <c r="G157" s="2" t="s">
        <v>40</v>
      </c>
      <c r="H157" s="2" t="s">
        <v>45</v>
      </c>
      <c r="I157" s="2" t="s">
        <v>36</v>
      </c>
      <c r="J157" s="2">
        <f>YEAR(Table1[[#This Row],[Data]])</f>
        <v>2016</v>
      </c>
      <c r="K157" s="2" t="str">
        <f>TEXT(Table1[[#This Row],[Data]],"mm")</f>
        <v>06</v>
      </c>
    </row>
    <row r="158" spans="1:11">
      <c r="A158" s="3">
        <v>42544</v>
      </c>
      <c r="B158" s="2" t="s">
        <v>30</v>
      </c>
      <c r="C158" s="2" t="s">
        <v>77</v>
      </c>
      <c r="D158" s="2" t="s">
        <v>34</v>
      </c>
      <c r="E158" s="2" t="s">
        <v>13</v>
      </c>
      <c r="F158" s="2" t="s">
        <v>14</v>
      </c>
      <c r="G158" s="2" t="s">
        <v>40</v>
      </c>
      <c r="H158" s="2" t="s">
        <v>43</v>
      </c>
      <c r="I158" s="2" t="s">
        <v>52</v>
      </c>
      <c r="J158" s="2">
        <f>YEAR(Table1[[#This Row],[Data]])</f>
        <v>2016</v>
      </c>
      <c r="K158" s="2" t="str">
        <f>TEXT(Table1[[#This Row],[Data]],"mm")</f>
        <v>06</v>
      </c>
    </row>
    <row r="159" spans="1:11">
      <c r="A159" s="3">
        <v>42545</v>
      </c>
      <c r="B159" s="2" t="s">
        <v>29</v>
      </c>
      <c r="C159" s="2" t="s">
        <v>66</v>
      </c>
      <c r="D159" s="2" t="s">
        <v>35</v>
      </c>
      <c r="E159" s="2" t="s">
        <v>13</v>
      </c>
      <c r="F159" s="2" t="s">
        <v>15</v>
      </c>
      <c r="G159" s="2" t="s">
        <v>40</v>
      </c>
      <c r="H159" s="2" t="s">
        <v>44</v>
      </c>
      <c r="I159" s="2" t="s">
        <v>36</v>
      </c>
      <c r="J159" s="2">
        <f>YEAR(Table1[[#This Row],[Data]])</f>
        <v>2016</v>
      </c>
      <c r="K159" s="2" t="str">
        <f>TEXT(Table1[[#This Row],[Data]],"mm")</f>
        <v>06</v>
      </c>
    </row>
    <row r="160" spans="1:11">
      <c r="A160" s="3">
        <v>42545</v>
      </c>
      <c r="B160" s="2" t="s">
        <v>29</v>
      </c>
      <c r="C160" s="2" t="s">
        <v>66</v>
      </c>
      <c r="D160" s="2" t="s">
        <v>35</v>
      </c>
      <c r="E160" s="2" t="s">
        <v>13</v>
      </c>
      <c r="F160" s="2" t="s">
        <v>16</v>
      </c>
      <c r="G160" s="2" t="s">
        <v>40</v>
      </c>
      <c r="H160" s="2" t="s">
        <v>44</v>
      </c>
      <c r="I160" s="2" t="s">
        <v>36</v>
      </c>
      <c r="J160" s="2">
        <f>YEAR(Table1[[#This Row],[Data]])</f>
        <v>2016</v>
      </c>
      <c r="K160" s="2" t="str">
        <f>TEXT(Table1[[#This Row],[Data]],"mm")</f>
        <v>06</v>
      </c>
    </row>
    <row r="161" spans="1:11">
      <c r="A161" s="3">
        <v>42550</v>
      </c>
      <c r="B161" s="2" t="s">
        <v>29</v>
      </c>
      <c r="C161" s="2" t="s">
        <v>66</v>
      </c>
      <c r="D161" s="2" t="s">
        <v>35</v>
      </c>
      <c r="E161" s="2" t="s">
        <v>13</v>
      </c>
      <c r="F161" s="2" t="s">
        <v>16</v>
      </c>
      <c r="G161" s="2" t="s">
        <v>40</v>
      </c>
      <c r="H161" s="2" t="s">
        <v>43</v>
      </c>
      <c r="I161" s="2" t="s">
        <v>36</v>
      </c>
      <c r="J161" s="2">
        <f>YEAR(Table1[[#This Row],[Data]])</f>
        <v>2016</v>
      </c>
      <c r="K161" s="2" t="str">
        <f>TEXT(Table1[[#This Row],[Data]],"mm")</f>
        <v>06</v>
      </c>
    </row>
    <row r="162" spans="1:11">
      <c r="A162" s="3">
        <v>42553</v>
      </c>
      <c r="B162" s="2" t="s">
        <v>29</v>
      </c>
      <c r="C162" s="2" t="s">
        <v>68</v>
      </c>
      <c r="D162" s="2" t="s">
        <v>35</v>
      </c>
      <c r="E162" s="2" t="s">
        <v>17</v>
      </c>
      <c r="F162" s="2" t="s">
        <v>17</v>
      </c>
      <c r="G162" s="2" t="s">
        <v>40</v>
      </c>
      <c r="H162" s="2" t="s">
        <v>44</v>
      </c>
      <c r="I162" s="2" t="s">
        <v>36</v>
      </c>
      <c r="J162" s="2">
        <f>YEAR(Table1[[#This Row],[Data]])</f>
        <v>2016</v>
      </c>
      <c r="K162" s="2" t="str">
        <f>TEXT(Table1[[#This Row],[Data]],"mm")</f>
        <v>07</v>
      </c>
    </row>
    <row r="163" spans="1:11">
      <c r="A163" s="3">
        <v>42555</v>
      </c>
      <c r="B163" s="2" t="s">
        <v>29</v>
      </c>
      <c r="C163" s="2" t="s">
        <v>71</v>
      </c>
      <c r="D163" s="2" t="s">
        <v>34</v>
      </c>
      <c r="E163" s="2" t="s">
        <v>15</v>
      </c>
      <c r="F163" s="2" t="s">
        <v>16</v>
      </c>
      <c r="G163" s="2" t="s">
        <v>40</v>
      </c>
      <c r="H163" s="2" t="s">
        <v>44</v>
      </c>
      <c r="I163" s="2" t="s">
        <v>51</v>
      </c>
      <c r="J163" s="2">
        <f>YEAR(Table1[[#This Row],[Data]])</f>
        <v>2016</v>
      </c>
      <c r="K163" s="2" t="str">
        <f>TEXT(Table1[[#This Row],[Data]],"mm")</f>
        <v>07</v>
      </c>
    </row>
    <row r="164" spans="1:11">
      <c r="A164" s="3">
        <v>42545</v>
      </c>
      <c r="B164" s="2" t="s">
        <v>29</v>
      </c>
      <c r="C164" s="2" t="s">
        <v>68</v>
      </c>
      <c r="D164" s="2" t="s">
        <v>35</v>
      </c>
      <c r="E164" s="2" t="s">
        <v>13</v>
      </c>
      <c r="F164" s="2" t="s">
        <v>14</v>
      </c>
      <c r="G164" s="2" t="s">
        <v>40</v>
      </c>
      <c r="H164" s="2" t="s">
        <v>44</v>
      </c>
      <c r="I164" s="2" t="s">
        <v>36</v>
      </c>
      <c r="J164" s="2">
        <f>YEAR(Table1[[#This Row],[Data]])</f>
        <v>2016</v>
      </c>
      <c r="K164" s="2" t="str">
        <f>TEXT(Table1[[#This Row],[Data]],"mm")</f>
        <v>06</v>
      </c>
    </row>
    <row r="165" spans="1:11">
      <c r="A165" s="3">
        <v>42559</v>
      </c>
      <c r="B165" s="2" t="s">
        <v>29</v>
      </c>
      <c r="C165" s="2" t="s">
        <v>66</v>
      </c>
      <c r="D165" s="2" t="s">
        <v>35</v>
      </c>
      <c r="E165" s="2" t="s">
        <v>13</v>
      </c>
      <c r="F165" s="2" t="s">
        <v>14</v>
      </c>
      <c r="G165" s="2" t="s">
        <v>40</v>
      </c>
      <c r="H165" s="2" t="s">
        <v>43</v>
      </c>
      <c r="I165" s="2" t="s">
        <v>36</v>
      </c>
      <c r="J165" s="2">
        <f>YEAR(Table1[[#This Row],[Data]])</f>
        <v>2016</v>
      </c>
      <c r="K165" s="2" t="str">
        <f>TEXT(Table1[[#This Row],[Data]],"mm")</f>
        <v>07</v>
      </c>
    </row>
    <row r="166" spans="1:11">
      <c r="A166" s="3">
        <v>42558</v>
      </c>
      <c r="B166" s="2" t="s">
        <v>29</v>
      </c>
      <c r="C166" s="2" t="s">
        <v>68</v>
      </c>
      <c r="D166" s="2" t="s">
        <v>35</v>
      </c>
      <c r="E166" s="2" t="s">
        <v>16</v>
      </c>
      <c r="F166" s="2" t="s">
        <v>17</v>
      </c>
      <c r="G166" s="2" t="s">
        <v>40</v>
      </c>
      <c r="H166" s="2" t="s">
        <v>44</v>
      </c>
      <c r="I166" s="2" t="s">
        <v>36</v>
      </c>
      <c r="J166" s="2">
        <f>YEAR(Table1[[#This Row],[Data]])</f>
        <v>2016</v>
      </c>
      <c r="K166" s="2" t="str">
        <f>TEXT(Table1[[#This Row],[Data]],"mm")</f>
        <v>07</v>
      </c>
    </row>
    <row r="167" spans="1:11">
      <c r="A167" s="3">
        <v>42558</v>
      </c>
      <c r="B167" s="2" t="s">
        <v>29</v>
      </c>
      <c r="C167" s="2" t="s">
        <v>68</v>
      </c>
      <c r="D167" s="2" t="s">
        <v>35</v>
      </c>
      <c r="E167" s="2" t="s">
        <v>13</v>
      </c>
      <c r="F167" s="2" t="s">
        <v>16</v>
      </c>
      <c r="G167" s="2" t="s">
        <v>40</v>
      </c>
      <c r="H167" s="2" t="s">
        <v>44</v>
      </c>
      <c r="I167" s="2" t="s">
        <v>36</v>
      </c>
      <c r="J167" s="2">
        <f>YEAR(Table1[[#This Row],[Data]])</f>
        <v>2016</v>
      </c>
      <c r="K167" s="2" t="str">
        <f>TEXT(Table1[[#This Row],[Data]],"mm")</f>
        <v>07</v>
      </c>
    </row>
    <row r="168" spans="1:11">
      <c r="A168" s="3">
        <v>42559</v>
      </c>
      <c r="B168" s="2" t="s">
        <v>29</v>
      </c>
      <c r="C168" s="2" t="s">
        <v>71</v>
      </c>
      <c r="D168" s="2" t="s">
        <v>34</v>
      </c>
      <c r="E168" s="2" t="s">
        <v>15</v>
      </c>
      <c r="F168" s="2" t="s">
        <v>16</v>
      </c>
      <c r="G168" s="2" t="s">
        <v>40</v>
      </c>
      <c r="H168" s="2" t="s">
        <v>44</v>
      </c>
      <c r="I168" s="2" t="s">
        <v>52</v>
      </c>
      <c r="J168" s="2">
        <f>YEAR(Table1[[#This Row],[Data]])</f>
        <v>2016</v>
      </c>
      <c r="K168" s="2" t="str">
        <f>TEXT(Table1[[#This Row],[Data]],"mm")</f>
        <v>07</v>
      </c>
    </row>
    <row r="169" spans="1:11">
      <c r="A169" s="3">
        <v>42560</v>
      </c>
      <c r="B169" s="2" t="s">
        <v>31</v>
      </c>
      <c r="C169" s="2" t="s">
        <v>80</v>
      </c>
      <c r="D169" s="2" t="s">
        <v>36</v>
      </c>
      <c r="E169" s="2" t="s">
        <v>15</v>
      </c>
      <c r="F169" s="2" t="s">
        <v>16</v>
      </c>
      <c r="G169" s="2" t="s">
        <v>40</v>
      </c>
      <c r="H169" s="2" t="s">
        <v>44</v>
      </c>
      <c r="I169" s="2" t="s">
        <v>36</v>
      </c>
      <c r="J169" s="2">
        <f>YEAR(Table1[[#This Row],[Data]])</f>
        <v>2016</v>
      </c>
      <c r="K169" s="2" t="str">
        <f>TEXT(Table1[[#This Row],[Data]],"mm")</f>
        <v>07</v>
      </c>
    </row>
    <row r="170" spans="1:11">
      <c r="A170" s="3">
        <v>42561</v>
      </c>
      <c r="B170" s="2" t="s">
        <v>29</v>
      </c>
      <c r="C170" s="2" t="s">
        <v>69</v>
      </c>
      <c r="D170" s="2" t="s">
        <v>35</v>
      </c>
      <c r="E170" s="2" t="s">
        <v>16</v>
      </c>
      <c r="F170" s="2" t="s">
        <v>16</v>
      </c>
      <c r="G170" s="2" t="s">
        <v>40</v>
      </c>
      <c r="H170" s="2" t="s">
        <v>44</v>
      </c>
      <c r="I170" s="2" t="s">
        <v>36</v>
      </c>
      <c r="J170" s="2">
        <f>YEAR(Table1[[#This Row],[Data]])</f>
        <v>2016</v>
      </c>
      <c r="K170" s="2" t="str">
        <f>TEXT(Table1[[#This Row],[Data]],"mm")</f>
        <v>07</v>
      </c>
    </row>
    <row r="171" spans="1:11">
      <c r="A171" s="3">
        <v>42562</v>
      </c>
      <c r="B171" s="2" t="s">
        <v>30</v>
      </c>
      <c r="C171" s="2" t="s">
        <v>70</v>
      </c>
      <c r="D171" s="2" t="s">
        <v>34</v>
      </c>
      <c r="E171" s="2" t="s">
        <v>15</v>
      </c>
      <c r="F171" s="2" t="s">
        <v>16</v>
      </c>
      <c r="G171" s="2" t="s">
        <v>40</v>
      </c>
      <c r="H171" s="2" t="s">
        <v>45</v>
      </c>
      <c r="I171" s="2" t="s">
        <v>79</v>
      </c>
      <c r="J171" s="2">
        <f>YEAR(Table1[[#This Row],[Data]])</f>
        <v>2016</v>
      </c>
      <c r="K171" s="2" t="str">
        <f>TEXT(Table1[[#This Row],[Data]],"mm")</f>
        <v>07</v>
      </c>
    </row>
    <row r="172" spans="1:11">
      <c r="A172" s="3">
        <v>42565</v>
      </c>
      <c r="B172" s="2" t="s">
        <v>29</v>
      </c>
      <c r="C172" s="2" t="s">
        <v>68</v>
      </c>
      <c r="D172" s="2" t="s">
        <v>35</v>
      </c>
      <c r="E172" s="2" t="s">
        <v>13</v>
      </c>
      <c r="F172" s="2" t="s">
        <v>14</v>
      </c>
      <c r="G172" s="2" t="s">
        <v>40</v>
      </c>
      <c r="H172" s="2" t="s">
        <v>43</v>
      </c>
      <c r="I172" s="2" t="s">
        <v>36</v>
      </c>
      <c r="J172" s="2">
        <f>YEAR(Table1[[#This Row],[Data]])</f>
        <v>2016</v>
      </c>
      <c r="K172" s="2" t="str">
        <f>TEXT(Table1[[#This Row],[Data]],"mm")</f>
        <v>07</v>
      </c>
    </row>
    <row r="173" spans="1:11">
      <c r="A173" s="3">
        <v>42566</v>
      </c>
      <c r="B173" s="2" t="s">
        <v>30</v>
      </c>
      <c r="C173" s="2" t="s">
        <v>70</v>
      </c>
      <c r="D173" s="2" t="s">
        <v>34</v>
      </c>
      <c r="E173" s="2" t="s">
        <v>13</v>
      </c>
      <c r="F173" s="2" t="s">
        <v>14</v>
      </c>
      <c r="G173" s="2" t="s">
        <v>39</v>
      </c>
      <c r="H173" s="2" t="s">
        <v>43</v>
      </c>
      <c r="I173" s="2" t="s">
        <v>54</v>
      </c>
      <c r="J173" s="2">
        <f>YEAR(Table1[[#This Row],[Data]])</f>
        <v>2016</v>
      </c>
      <c r="K173" s="2" t="str">
        <f>TEXT(Table1[[#This Row],[Data]],"mm")</f>
        <v>07</v>
      </c>
    </row>
    <row r="174" spans="1:11">
      <c r="A174" s="3">
        <v>42567</v>
      </c>
      <c r="B174" s="2" t="s">
        <v>29</v>
      </c>
      <c r="C174" s="2" t="s">
        <v>68</v>
      </c>
      <c r="D174" s="2" t="s">
        <v>35</v>
      </c>
      <c r="E174" s="2" t="s">
        <v>13</v>
      </c>
      <c r="F174" s="2" t="s">
        <v>16</v>
      </c>
      <c r="G174" s="2" t="s">
        <v>40</v>
      </c>
      <c r="H174" s="2" t="s">
        <v>44</v>
      </c>
      <c r="I174" s="2" t="s">
        <v>36</v>
      </c>
      <c r="J174" s="2">
        <f>YEAR(Table1[[#This Row],[Data]])</f>
        <v>2016</v>
      </c>
      <c r="K174" s="2" t="str">
        <f>TEXT(Table1[[#This Row],[Data]],"mm")</f>
        <v>07</v>
      </c>
    </row>
    <row r="175" spans="1:11">
      <c r="A175" s="3">
        <v>42569</v>
      </c>
      <c r="B175" s="2" t="s">
        <v>29</v>
      </c>
      <c r="C175" s="2" t="s">
        <v>71</v>
      </c>
      <c r="D175" s="2" t="s">
        <v>34</v>
      </c>
      <c r="E175" s="2" t="s">
        <v>13</v>
      </c>
      <c r="F175" s="2" t="s">
        <v>15</v>
      </c>
      <c r="G175" s="2" t="s">
        <v>40</v>
      </c>
      <c r="H175" s="2" t="s">
        <v>44</v>
      </c>
      <c r="I175" s="2" t="s">
        <v>62</v>
      </c>
      <c r="J175" s="2">
        <f>YEAR(Table1[[#This Row],[Data]])</f>
        <v>2016</v>
      </c>
      <c r="K175" s="2" t="str">
        <f>TEXT(Table1[[#This Row],[Data]],"mm")</f>
        <v>07</v>
      </c>
    </row>
    <row r="176" spans="1:11">
      <c r="A176" s="3">
        <v>42571</v>
      </c>
      <c r="B176" s="2" t="s">
        <v>30</v>
      </c>
      <c r="C176" s="2" t="s">
        <v>70</v>
      </c>
      <c r="D176" s="2" t="s">
        <v>34</v>
      </c>
      <c r="E176" s="2" t="s">
        <v>13</v>
      </c>
      <c r="F176" s="2" t="s">
        <v>15</v>
      </c>
      <c r="G176" s="2" t="s">
        <v>40</v>
      </c>
      <c r="H176" s="2" t="s">
        <v>43</v>
      </c>
      <c r="I176" s="2" t="s">
        <v>54</v>
      </c>
      <c r="J176" s="2">
        <f>YEAR(Table1[[#This Row],[Data]])</f>
        <v>2016</v>
      </c>
      <c r="K176" s="2" t="str">
        <f>TEXT(Table1[[#This Row],[Data]],"mm")</f>
        <v>07</v>
      </c>
    </row>
    <row r="177" spans="1:11">
      <c r="A177" s="3">
        <v>42572</v>
      </c>
      <c r="B177" s="2" t="s">
        <v>30</v>
      </c>
      <c r="C177" s="2" t="s">
        <v>87</v>
      </c>
      <c r="D177" s="2" t="s">
        <v>36</v>
      </c>
      <c r="E177" s="2" t="s">
        <v>13</v>
      </c>
      <c r="F177" s="2" t="s">
        <v>14</v>
      </c>
      <c r="G177" s="2" t="s">
        <v>39</v>
      </c>
      <c r="H177" s="2" t="s">
        <v>43</v>
      </c>
      <c r="I177" s="2" t="s">
        <v>88</v>
      </c>
      <c r="J177" s="2">
        <f>YEAR(Table1[[#This Row],[Data]])</f>
        <v>2016</v>
      </c>
      <c r="K177" s="2" t="str">
        <f>TEXT(Table1[[#This Row],[Data]],"mm")</f>
        <v>07</v>
      </c>
    </row>
    <row r="178" spans="1:11">
      <c r="A178" s="3">
        <v>42574</v>
      </c>
      <c r="B178" s="2" t="s">
        <v>30</v>
      </c>
      <c r="C178" s="2" t="s">
        <v>77</v>
      </c>
      <c r="D178" s="2" t="s">
        <v>34</v>
      </c>
      <c r="E178" s="2" t="s">
        <v>13</v>
      </c>
      <c r="F178" s="2" t="s">
        <v>14</v>
      </c>
      <c r="G178" s="2" t="s">
        <v>40</v>
      </c>
      <c r="H178" s="2" t="s">
        <v>45</v>
      </c>
      <c r="I178" s="2" t="s">
        <v>61</v>
      </c>
      <c r="J178" s="2">
        <f>YEAR(Table1[[#This Row],[Data]])</f>
        <v>2016</v>
      </c>
      <c r="K178" s="2" t="str">
        <f>TEXT(Table1[[#This Row],[Data]],"mm")</f>
        <v>07</v>
      </c>
    </row>
    <row r="179" spans="1:11">
      <c r="A179" s="3">
        <v>42578</v>
      </c>
      <c r="B179" s="2" t="s">
        <v>29</v>
      </c>
      <c r="C179" s="2" t="s">
        <v>68</v>
      </c>
      <c r="D179" s="2" t="s">
        <v>35</v>
      </c>
      <c r="E179" s="2" t="s">
        <v>14</v>
      </c>
      <c r="F179" s="2" t="s">
        <v>16</v>
      </c>
      <c r="G179" s="2" t="s">
        <v>40</v>
      </c>
      <c r="H179" s="2" t="s">
        <v>43</v>
      </c>
      <c r="I179" s="2" t="s">
        <v>36</v>
      </c>
      <c r="J179" s="2">
        <f>YEAR(Table1[[#This Row],[Data]])</f>
        <v>2016</v>
      </c>
      <c r="K179" s="2" t="str">
        <f>TEXT(Table1[[#This Row],[Data]],"mm")</f>
        <v>07</v>
      </c>
    </row>
    <row r="180" spans="1:11">
      <c r="A180" s="3">
        <v>42580</v>
      </c>
      <c r="B180" s="2" t="s">
        <v>29</v>
      </c>
      <c r="C180" s="2" t="s">
        <v>68</v>
      </c>
      <c r="D180" s="2" t="s">
        <v>35</v>
      </c>
      <c r="E180" s="2" t="s">
        <v>13</v>
      </c>
      <c r="F180" s="2" t="s">
        <v>16</v>
      </c>
      <c r="G180" s="2" t="s">
        <v>40</v>
      </c>
      <c r="H180" s="2" t="s">
        <v>43</v>
      </c>
      <c r="I180" s="2" t="s">
        <v>36</v>
      </c>
      <c r="J180" s="2">
        <f>YEAR(Table1[[#This Row],[Data]])</f>
        <v>2016</v>
      </c>
      <c r="K180" s="2" t="str">
        <f>TEXT(Table1[[#This Row],[Data]],"mm")</f>
        <v>07</v>
      </c>
    </row>
    <row r="181" spans="1:11">
      <c r="A181" s="3">
        <v>42581</v>
      </c>
      <c r="B181" s="2" t="s">
        <v>30</v>
      </c>
      <c r="C181" s="2" t="s">
        <v>75</v>
      </c>
      <c r="D181" s="2" t="s">
        <v>35</v>
      </c>
      <c r="E181" s="2" t="s">
        <v>13</v>
      </c>
      <c r="F181" s="2" t="s">
        <v>14</v>
      </c>
      <c r="G181" s="2" t="s">
        <v>40</v>
      </c>
      <c r="H181" s="2" t="s">
        <v>43</v>
      </c>
      <c r="I181" s="2" t="s">
        <v>36</v>
      </c>
      <c r="J181" s="2">
        <f>YEAR(Table1[[#This Row],[Data]])</f>
        <v>2016</v>
      </c>
      <c r="K181" s="2" t="str">
        <f>TEXT(Table1[[#This Row],[Data]],"mm")</f>
        <v>07</v>
      </c>
    </row>
    <row r="182" spans="1:11">
      <c r="A182" s="3">
        <v>42584</v>
      </c>
      <c r="B182" s="2" t="s">
        <v>30</v>
      </c>
      <c r="C182" s="2" t="s">
        <v>67</v>
      </c>
      <c r="D182" s="2" t="s">
        <v>35</v>
      </c>
      <c r="E182" s="2" t="s">
        <v>13</v>
      </c>
      <c r="F182" s="2" t="s">
        <v>15</v>
      </c>
      <c r="G182" s="2" t="s">
        <v>40</v>
      </c>
      <c r="H182" s="2" t="s">
        <v>45</v>
      </c>
      <c r="I182" s="2" t="s">
        <v>36</v>
      </c>
      <c r="J182" s="2">
        <f>YEAR(Table1[[#This Row],[Data]])</f>
        <v>2016</v>
      </c>
      <c r="K182" s="2" t="str">
        <f>TEXT(Table1[[#This Row],[Data]],"mm")</f>
        <v>08</v>
      </c>
    </row>
    <row r="183" spans="1:11">
      <c r="A183" s="3">
        <v>42583</v>
      </c>
      <c r="B183" s="2" t="s">
        <v>30</v>
      </c>
      <c r="C183" s="2" t="s">
        <v>70</v>
      </c>
      <c r="D183" s="2" t="s">
        <v>34</v>
      </c>
      <c r="E183" s="2" t="s">
        <v>14</v>
      </c>
      <c r="F183" s="2" t="s">
        <v>15</v>
      </c>
      <c r="G183" s="2" t="s">
        <v>39</v>
      </c>
      <c r="H183" s="2" t="s">
        <v>44</v>
      </c>
      <c r="I183" s="2" t="s">
        <v>52</v>
      </c>
      <c r="J183" s="2">
        <f>YEAR(Table1[[#This Row],[Data]])</f>
        <v>2016</v>
      </c>
      <c r="K183" s="2" t="str">
        <f>TEXT(Table1[[#This Row],[Data]],"mm")</f>
        <v>08</v>
      </c>
    </row>
    <row r="184" spans="1:11">
      <c r="A184" s="3">
        <v>42584</v>
      </c>
      <c r="B184" s="2" t="s">
        <v>31</v>
      </c>
      <c r="C184" s="2" t="s">
        <v>80</v>
      </c>
      <c r="D184" s="2" t="s">
        <v>36</v>
      </c>
      <c r="E184" s="2" t="s">
        <v>13</v>
      </c>
      <c r="F184" s="2" t="s">
        <v>13</v>
      </c>
      <c r="G184" s="2" t="s">
        <v>40</v>
      </c>
      <c r="H184" s="2" t="s">
        <v>44</v>
      </c>
      <c r="I184" s="2" t="s">
        <v>63</v>
      </c>
      <c r="J184" s="2">
        <f>YEAR(Table1[[#This Row],[Data]])</f>
        <v>2016</v>
      </c>
      <c r="K184" s="2" t="str">
        <f>TEXT(Table1[[#This Row],[Data]],"mm")</f>
        <v>08</v>
      </c>
    </row>
    <row r="185" spans="1:11">
      <c r="A185" s="3">
        <v>42583</v>
      </c>
      <c r="B185" s="2" t="s">
        <v>29</v>
      </c>
      <c r="C185" s="2" t="s">
        <v>69</v>
      </c>
      <c r="D185" s="2" t="s">
        <v>35</v>
      </c>
      <c r="E185" s="2" t="s">
        <v>14</v>
      </c>
      <c r="F185" s="2" t="s">
        <v>15</v>
      </c>
      <c r="G185" s="2" t="s">
        <v>40</v>
      </c>
      <c r="H185" s="2" t="s">
        <v>44</v>
      </c>
      <c r="I185" s="2" t="s">
        <v>36</v>
      </c>
      <c r="J185" s="2">
        <f>YEAR(Table1[[#This Row],[Data]])</f>
        <v>2016</v>
      </c>
      <c r="K185" s="2" t="str">
        <f>TEXT(Table1[[#This Row],[Data]],"mm")</f>
        <v>08</v>
      </c>
    </row>
    <row r="186" spans="1:11">
      <c r="A186" s="3">
        <v>42586</v>
      </c>
      <c r="B186" s="2" t="s">
        <v>30</v>
      </c>
      <c r="C186" s="2" t="s">
        <v>77</v>
      </c>
      <c r="D186" s="2" t="s">
        <v>34</v>
      </c>
      <c r="E186" s="2" t="s">
        <v>13</v>
      </c>
      <c r="F186" s="2" t="s">
        <v>14</v>
      </c>
      <c r="G186" s="2" t="s">
        <v>40</v>
      </c>
      <c r="H186" s="2" t="s">
        <v>43</v>
      </c>
      <c r="I186" s="2" t="s">
        <v>55</v>
      </c>
      <c r="J186" s="2">
        <f>YEAR(Table1[[#This Row],[Data]])</f>
        <v>2016</v>
      </c>
      <c r="K186" s="2" t="str">
        <f>TEXT(Table1[[#This Row],[Data]],"mm")</f>
        <v>08</v>
      </c>
    </row>
    <row r="187" spans="1:11">
      <c r="A187" s="3">
        <v>42593</v>
      </c>
      <c r="B187" s="2" t="s">
        <v>30</v>
      </c>
      <c r="C187" s="2" t="s">
        <v>67</v>
      </c>
      <c r="D187" s="2" t="s">
        <v>35</v>
      </c>
      <c r="E187" s="2" t="s">
        <v>16</v>
      </c>
      <c r="F187" s="2" t="s">
        <v>16</v>
      </c>
      <c r="G187" s="2" t="s">
        <v>40</v>
      </c>
      <c r="H187" s="2" t="s">
        <v>45</v>
      </c>
      <c r="I187" s="2" t="s">
        <v>36</v>
      </c>
      <c r="J187" s="2">
        <f>YEAR(Table1[[#This Row],[Data]])</f>
        <v>2016</v>
      </c>
      <c r="K187" s="2" t="str">
        <f>TEXT(Table1[[#This Row],[Data]],"mm")</f>
        <v>08</v>
      </c>
    </row>
    <row r="188" spans="1:11">
      <c r="A188" s="3">
        <v>42593</v>
      </c>
      <c r="B188" s="2" t="s">
        <v>30</v>
      </c>
      <c r="C188" s="2" t="s">
        <v>87</v>
      </c>
      <c r="D188" s="2" t="s">
        <v>36</v>
      </c>
      <c r="E188" s="2" t="s">
        <v>13</v>
      </c>
      <c r="F188" s="2" t="s">
        <v>16</v>
      </c>
      <c r="G188" s="2" t="s">
        <v>39</v>
      </c>
      <c r="H188" s="2" t="s">
        <v>43</v>
      </c>
      <c r="I188" s="2" t="s">
        <v>36</v>
      </c>
      <c r="J188" s="2">
        <f>YEAR(Table1[[#This Row],[Data]])</f>
        <v>2016</v>
      </c>
      <c r="K188" s="2" t="str">
        <f>TEXT(Table1[[#This Row],[Data]],"mm")</f>
        <v>08</v>
      </c>
    </row>
    <row r="189" spans="1:11">
      <c r="A189" s="3">
        <v>42594</v>
      </c>
      <c r="B189" s="2" t="s">
        <v>29</v>
      </c>
      <c r="C189" s="2" t="s">
        <v>68</v>
      </c>
      <c r="D189" s="2" t="s">
        <v>35</v>
      </c>
      <c r="E189" s="2" t="s">
        <v>15</v>
      </c>
      <c r="F189" s="2" t="s">
        <v>16</v>
      </c>
      <c r="G189" s="2" t="s">
        <v>40</v>
      </c>
      <c r="H189" s="2" t="s">
        <v>43</v>
      </c>
      <c r="I189" s="2" t="s">
        <v>36</v>
      </c>
      <c r="J189" s="2">
        <f>YEAR(Table1[[#This Row],[Data]])</f>
        <v>2016</v>
      </c>
      <c r="K189" s="2" t="str">
        <f>TEXT(Table1[[#This Row],[Data]],"mm")</f>
        <v>08</v>
      </c>
    </row>
    <row r="190" spans="1:11">
      <c r="A190" s="3">
        <v>42596</v>
      </c>
      <c r="B190" s="2" t="s">
        <v>29</v>
      </c>
      <c r="C190" s="2" t="s">
        <v>66</v>
      </c>
      <c r="D190" s="2" t="s">
        <v>35</v>
      </c>
      <c r="E190" s="2" t="s">
        <v>15</v>
      </c>
      <c r="F190" s="2" t="s">
        <v>16</v>
      </c>
      <c r="G190" s="2" t="s">
        <v>40</v>
      </c>
      <c r="H190" s="2" t="s">
        <v>44</v>
      </c>
      <c r="I190" s="2" t="s">
        <v>36</v>
      </c>
      <c r="J190" s="2">
        <f>YEAR(Table1[[#This Row],[Data]])</f>
        <v>2016</v>
      </c>
      <c r="K190" s="2" t="str">
        <f>TEXT(Table1[[#This Row],[Data]],"mm")</f>
        <v>08</v>
      </c>
    </row>
    <row r="191" spans="1:11">
      <c r="A191" s="3">
        <v>42596</v>
      </c>
      <c r="B191" s="2" t="s">
        <v>30</v>
      </c>
      <c r="C191" s="2" t="s">
        <v>77</v>
      </c>
      <c r="D191" s="2" t="s">
        <v>34</v>
      </c>
      <c r="E191" s="2" t="s">
        <v>13</v>
      </c>
      <c r="F191" s="2" t="s">
        <v>15</v>
      </c>
      <c r="G191" s="2" t="s">
        <v>40</v>
      </c>
      <c r="H191" s="2" t="s">
        <v>43</v>
      </c>
      <c r="I191" s="2" t="s">
        <v>57</v>
      </c>
      <c r="J191" s="2">
        <f>YEAR(Table1[[#This Row],[Data]])</f>
        <v>2016</v>
      </c>
      <c r="K191" s="2" t="str">
        <f>TEXT(Table1[[#This Row],[Data]],"mm")</f>
        <v>08</v>
      </c>
    </row>
    <row r="192" spans="1:11">
      <c r="A192" s="3">
        <v>42597</v>
      </c>
      <c r="B192" s="2" t="s">
        <v>29</v>
      </c>
      <c r="C192" s="2" t="s">
        <v>66</v>
      </c>
      <c r="D192" s="2" t="s">
        <v>35</v>
      </c>
      <c r="E192" s="2" t="s">
        <v>13</v>
      </c>
      <c r="F192" s="2" t="s">
        <v>16</v>
      </c>
      <c r="G192" s="2" t="s">
        <v>40</v>
      </c>
      <c r="H192" s="2" t="s">
        <v>44</v>
      </c>
      <c r="I192" s="2" t="s">
        <v>36</v>
      </c>
      <c r="J192" s="2">
        <f>YEAR(Table1[[#This Row],[Data]])</f>
        <v>2016</v>
      </c>
      <c r="K192" s="2" t="str">
        <f>TEXT(Table1[[#This Row],[Data]],"mm")</f>
        <v>08</v>
      </c>
    </row>
    <row r="193" spans="1:11">
      <c r="A193" s="3">
        <v>42600</v>
      </c>
      <c r="B193" s="2" t="s">
        <v>29</v>
      </c>
      <c r="C193" s="2" t="s">
        <v>68</v>
      </c>
      <c r="D193" s="2" t="s">
        <v>35</v>
      </c>
      <c r="E193" s="2" t="s">
        <v>13</v>
      </c>
      <c r="F193" s="2" t="s">
        <v>15</v>
      </c>
      <c r="G193" s="2" t="s">
        <v>40</v>
      </c>
      <c r="H193" s="2" t="s">
        <v>43</v>
      </c>
      <c r="I193" s="2" t="s">
        <v>36</v>
      </c>
      <c r="J193" s="2">
        <f>YEAR(Table1[[#This Row],[Data]])</f>
        <v>2016</v>
      </c>
      <c r="K193" s="2" t="str">
        <f>TEXT(Table1[[#This Row],[Data]],"mm")</f>
        <v>08</v>
      </c>
    </row>
    <row r="194" spans="1:11">
      <c r="A194" s="3">
        <v>42601</v>
      </c>
      <c r="B194" s="2" t="s">
        <v>29</v>
      </c>
      <c r="C194" s="2" t="s">
        <v>68</v>
      </c>
      <c r="D194" s="2" t="s">
        <v>35</v>
      </c>
      <c r="E194" s="2" t="s">
        <v>13</v>
      </c>
      <c r="F194" s="2" t="s">
        <v>15</v>
      </c>
      <c r="G194" s="2" t="s">
        <v>40</v>
      </c>
      <c r="H194" s="2" t="s">
        <v>43</v>
      </c>
      <c r="I194" s="2" t="s">
        <v>36</v>
      </c>
      <c r="J194" s="2">
        <f>YEAR(Table1[[#This Row],[Data]])</f>
        <v>2016</v>
      </c>
      <c r="K194" s="2" t="str">
        <f>TEXT(Table1[[#This Row],[Data]],"mm")</f>
        <v>08</v>
      </c>
    </row>
    <row r="195" spans="1:11">
      <c r="A195" s="3">
        <v>42604</v>
      </c>
      <c r="B195" s="2" t="s">
        <v>30</v>
      </c>
      <c r="C195" s="2" t="s">
        <v>70</v>
      </c>
      <c r="D195" s="2" t="s">
        <v>34</v>
      </c>
      <c r="E195" s="2" t="s">
        <v>13</v>
      </c>
      <c r="F195" s="2" t="s">
        <v>15</v>
      </c>
      <c r="G195" s="2" t="s">
        <v>40</v>
      </c>
      <c r="H195" s="2" t="s">
        <v>43</v>
      </c>
      <c r="I195" s="2" t="s">
        <v>51</v>
      </c>
      <c r="J195" s="2">
        <f>YEAR(Table1[[#This Row],[Data]])</f>
        <v>2016</v>
      </c>
      <c r="K195" s="2" t="str">
        <f>TEXT(Table1[[#This Row],[Data]],"mm")</f>
        <v>08</v>
      </c>
    </row>
    <row r="196" spans="1:11">
      <c r="A196" s="3">
        <v>42606</v>
      </c>
      <c r="B196" s="2" t="s">
        <v>30</v>
      </c>
      <c r="C196" s="2" t="s">
        <v>70</v>
      </c>
      <c r="D196" s="2" t="s">
        <v>34</v>
      </c>
      <c r="E196" s="2" t="s">
        <v>13</v>
      </c>
      <c r="F196" s="2" t="s">
        <v>14</v>
      </c>
      <c r="G196" s="2" t="s">
        <v>40</v>
      </c>
      <c r="H196" s="2" t="s">
        <v>43</v>
      </c>
      <c r="I196" s="2" t="s">
        <v>55</v>
      </c>
      <c r="J196" s="2">
        <f>YEAR(Table1[[#This Row],[Data]])</f>
        <v>2016</v>
      </c>
      <c r="K196" s="2" t="str">
        <f>TEXT(Table1[[#This Row],[Data]],"mm")</f>
        <v>08</v>
      </c>
    </row>
    <row r="197" spans="1:11">
      <c r="A197" s="3">
        <v>42607</v>
      </c>
      <c r="B197" s="2" t="s">
        <v>29</v>
      </c>
      <c r="C197" s="2" t="s">
        <v>68</v>
      </c>
      <c r="D197" s="2" t="s">
        <v>35</v>
      </c>
      <c r="E197" s="2" t="s">
        <v>13</v>
      </c>
      <c r="F197" s="2" t="s">
        <v>16</v>
      </c>
      <c r="G197" s="2" t="s">
        <v>40</v>
      </c>
      <c r="H197" s="2" t="s">
        <v>43</v>
      </c>
      <c r="I197" s="2" t="s">
        <v>36</v>
      </c>
      <c r="J197" s="2">
        <f>YEAR(Table1[[#This Row],[Data]])</f>
        <v>2016</v>
      </c>
      <c r="K197" s="2" t="str">
        <f>TEXT(Table1[[#This Row],[Data]],"mm")</f>
        <v>08</v>
      </c>
    </row>
    <row r="198" spans="1:11">
      <c r="A198" s="3">
        <v>42606</v>
      </c>
      <c r="B198" s="2" t="s">
        <v>29</v>
      </c>
      <c r="C198" s="2" t="s">
        <v>66</v>
      </c>
      <c r="D198" s="2" t="s">
        <v>35</v>
      </c>
      <c r="E198" s="2" t="s">
        <v>13</v>
      </c>
      <c r="F198" s="2" t="s">
        <v>14</v>
      </c>
      <c r="G198" s="2" t="s">
        <v>40</v>
      </c>
      <c r="H198" s="2" t="s">
        <v>43</v>
      </c>
      <c r="I198" s="2" t="s">
        <v>36</v>
      </c>
      <c r="J198" s="2">
        <f>YEAR(Table1[[#This Row],[Data]])</f>
        <v>2016</v>
      </c>
      <c r="K198" s="2" t="str">
        <f>TEXT(Table1[[#This Row],[Data]],"mm")</f>
        <v>08</v>
      </c>
    </row>
    <row r="199" spans="1:11">
      <c r="A199" s="3">
        <v>42611</v>
      </c>
      <c r="B199" s="2" t="s">
        <v>30</v>
      </c>
      <c r="C199" s="2" t="s">
        <v>70</v>
      </c>
      <c r="D199" s="2" t="s">
        <v>34</v>
      </c>
      <c r="E199" s="2" t="s">
        <v>13</v>
      </c>
      <c r="F199" s="2" t="s">
        <v>14</v>
      </c>
      <c r="G199" s="2" t="s">
        <v>40</v>
      </c>
      <c r="H199" s="2" t="s">
        <v>43</v>
      </c>
      <c r="I199" s="2" t="s">
        <v>54</v>
      </c>
      <c r="J199" s="2">
        <f>YEAR(Table1[[#This Row],[Data]])</f>
        <v>2016</v>
      </c>
      <c r="K199" s="2" t="str">
        <f>TEXT(Table1[[#This Row],[Data]],"mm")</f>
        <v>08</v>
      </c>
    </row>
    <row r="200" spans="1:11">
      <c r="A200" s="3">
        <v>42609</v>
      </c>
      <c r="B200" s="2" t="s">
        <v>29</v>
      </c>
      <c r="C200" s="2" t="s">
        <v>71</v>
      </c>
      <c r="D200" s="2" t="s">
        <v>34</v>
      </c>
      <c r="E200" s="2" t="s">
        <v>13</v>
      </c>
      <c r="F200" s="2" t="s">
        <v>14</v>
      </c>
      <c r="G200" s="2" t="s">
        <v>40</v>
      </c>
      <c r="H200" s="2" t="s">
        <v>43</v>
      </c>
      <c r="I200" s="2" t="s">
        <v>76</v>
      </c>
      <c r="J200" s="2">
        <f>YEAR(Table1[[#This Row],[Data]])</f>
        <v>2016</v>
      </c>
      <c r="K200" s="2" t="str">
        <f>TEXT(Table1[[#This Row],[Data]],"mm")</f>
        <v>08</v>
      </c>
    </row>
    <row r="201" spans="1:11">
      <c r="A201" s="3">
        <v>42612</v>
      </c>
      <c r="B201" s="2" t="s">
        <v>30</v>
      </c>
      <c r="C201" s="2" t="s">
        <v>77</v>
      </c>
      <c r="D201" s="2" t="s">
        <v>34</v>
      </c>
      <c r="E201" s="2" t="s">
        <v>14</v>
      </c>
      <c r="F201" s="2" t="s">
        <v>14</v>
      </c>
      <c r="G201" s="2" t="s">
        <v>39</v>
      </c>
      <c r="H201" s="2" t="s">
        <v>45</v>
      </c>
      <c r="I201" s="2" t="s">
        <v>36</v>
      </c>
      <c r="J201" s="2">
        <f>YEAR(Table1[[#This Row],[Data]])</f>
        <v>2016</v>
      </c>
      <c r="K201" s="2" t="str">
        <f>TEXT(Table1[[#This Row],[Data]],"mm")</f>
        <v>08</v>
      </c>
    </row>
    <row r="202" spans="1:11">
      <c r="A202" s="3">
        <v>42612</v>
      </c>
      <c r="B202" s="2" t="s">
        <v>29</v>
      </c>
      <c r="C202" s="2" t="s">
        <v>71</v>
      </c>
      <c r="D202" s="2" t="s">
        <v>34</v>
      </c>
      <c r="E202" s="2" t="s">
        <v>13</v>
      </c>
      <c r="F202" s="2" t="s">
        <v>14</v>
      </c>
      <c r="G202" s="2" t="s">
        <v>40</v>
      </c>
      <c r="H202" s="2" t="s">
        <v>44</v>
      </c>
      <c r="I202" s="2" t="s">
        <v>36</v>
      </c>
      <c r="J202" s="2">
        <f>YEAR(Table1[[#This Row],[Data]])</f>
        <v>2016</v>
      </c>
      <c r="K202" s="2" t="str">
        <f>TEXT(Table1[[#This Row],[Data]],"mm")</f>
        <v>08</v>
      </c>
    </row>
    <row r="203" spans="1:11">
      <c r="A203" s="3">
        <v>42614</v>
      </c>
      <c r="B203" s="2" t="s">
        <v>30</v>
      </c>
      <c r="C203" s="2" t="s">
        <v>70</v>
      </c>
      <c r="D203" s="2" t="s">
        <v>34</v>
      </c>
      <c r="E203" s="2" t="s">
        <v>14</v>
      </c>
      <c r="F203" s="2" t="s">
        <v>16</v>
      </c>
      <c r="G203" s="2" t="s">
        <v>40</v>
      </c>
      <c r="H203" s="2" t="s">
        <v>45</v>
      </c>
      <c r="I203" s="2" t="s">
        <v>52</v>
      </c>
      <c r="J203" s="2">
        <f>YEAR(Table1[[#This Row],[Data]])</f>
        <v>2016</v>
      </c>
      <c r="K203" s="2" t="str">
        <f>TEXT(Table1[[#This Row],[Data]],"mm")</f>
        <v>09</v>
      </c>
    </row>
    <row r="204" spans="1:11">
      <c r="A204" s="3">
        <v>42615</v>
      </c>
      <c r="B204" s="2" t="s">
        <v>29</v>
      </c>
      <c r="C204" s="2" t="s">
        <v>68</v>
      </c>
      <c r="D204" s="2" t="s">
        <v>35</v>
      </c>
      <c r="E204" s="2" t="s">
        <v>13</v>
      </c>
      <c r="F204" s="2" t="s">
        <v>13</v>
      </c>
      <c r="G204" s="2" t="s">
        <v>40</v>
      </c>
      <c r="H204" s="2" t="s">
        <v>44</v>
      </c>
      <c r="I204" s="2" t="s">
        <v>36</v>
      </c>
      <c r="J204" s="2">
        <f>YEAR(Table1[[#This Row],[Data]])</f>
        <v>2016</v>
      </c>
      <c r="K204" s="2" t="str">
        <f>TEXT(Table1[[#This Row],[Data]],"mm")</f>
        <v>09</v>
      </c>
    </row>
    <row r="205" spans="1:11">
      <c r="A205" s="3">
        <v>42617</v>
      </c>
      <c r="B205" s="2" t="s">
        <v>29</v>
      </c>
      <c r="C205" s="2" t="s">
        <v>68</v>
      </c>
      <c r="D205" s="2" t="s">
        <v>35</v>
      </c>
      <c r="E205" s="2" t="s">
        <v>13</v>
      </c>
      <c r="F205" s="2" t="s">
        <v>15</v>
      </c>
      <c r="G205" s="2" t="s">
        <v>40</v>
      </c>
      <c r="H205" s="2" t="s">
        <v>44</v>
      </c>
      <c r="I205" s="2" t="s">
        <v>36</v>
      </c>
      <c r="J205" s="2">
        <f>YEAR(Table1[[#This Row],[Data]])</f>
        <v>2016</v>
      </c>
      <c r="K205" s="2" t="str">
        <f>TEXT(Table1[[#This Row],[Data]],"mm")</f>
        <v>09</v>
      </c>
    </row>
    <row r="206" spans="1:11">
      <c r="A206" s="3">
        <v>42616</v>
      </c>
      <c r="B206" s="2" t="s">
        <v>29</v>
      </c>
      <c r="C206" s="2" t="s">
        <v>69</v>
      </c>
      <c r="D206" s="2" t="s">
        <v>35</v>
      </c>
      <c r="E206" s="2" t="s">
        <v>15</v>
      </c>
      <c r="F206" s="2" t="s">
        <v>16</v>
      </c>
      <c r="G206" s="2" t="s">
        <v>40</v>
      </c>
      <c r="H206" s="2" t="s">
        <v>43</v>
      </c>
      <c r="I206" s="2" t="s">
        <v>36</v>
      </c>
      <c r="J206" s="2">
        <f>YEAR(Table1[[#This Row],[Data]])</f>
        <v>2016</v>
      </c>
      <c r="K206" s="2" t="str">
        <f>TEXT(Table1[[#This Row],[Data]],"mm")</f>
        <v>09</v>
      </c>
    </row>
    <row r="207" spans="1:11">
      <c r="A207" s="3">
        <v>42617</v>
      </c>
      <c r="B207" s="2" t="s">
        <v>29</v>
      </c>
      <c r="C207" s="2" t="s">
        <v>71</v>
      </c>
      <c r="D207" s="2" t="s">
        <v>34</v>
      </c>
      <c r="E207" s="2" t="s">
        <v>16</v>
      </c>
      <c r="F207" s="2" t="s">
        <v>16</v>
      </c>
      <c r="G207" s="2" t="s">
        <v>40</v>
      </c>
      <c r="H207" s="2" t="s">
        <v>43</v>
      </c>
      <c r="I207" s="2" t="s">
        <v>79</v>
      </c>
      <c r="J207" s="2">
        <f>YEAR(Table1[[#This Row],[Data]])</f>
        <v>2016</v>
      </c>
      <c r="K207" s="2" t="str">
        <f>TEXT(Table1[[#This Row],[Data]],"mm")</f>
        <v>09</v>
      </c>
    </row>
    <row r="208" spans="1:11">
      <c r="A208" s="3">
        <v>42619</v>
      </c>
      <c r="B208" s="2" t="s">
        <v>30</v>
      </c>
      <c r="C208" s="2" t="s">
        <v>67</v>
      </c>
      <c r="D208" s="2" t="s">
        <v>35</v>
      </c>
      <c r="E208" s="2" t="s">
        <v>13</v>
      </c>
      <c r="F208" s="2" t="s">
        <v>14</v>
      </c>
      <c r="G208" s="2" t="s">
        <v>40</v>
      </c>
      <c r="H208" s="2" t="s">
        <v>43</v>
      </c>
      <c r="I208" s="2" t="s">
        <v>36</v>
      </c>
      <c r="J208" s="2">
        <f>YEAR(Table1[[#This Row],[Data]])</f>
        <v>2016</v>
      </c>
      <c r="K208" s="2" t="str">
        <f>TEXT(Table1[[#This Row],[Data]],"mm")</f>
        <v>09</v>
      </c>
    </row>
    <row r="209" spans="1:11">
      <c r="A209" s="3">
        <v>42618</v>
      </c>
      <c r="B209" s="2" t="s">
        <v>30</v>
      </c>
      <c r="C209" s="2" t="s">
        <v>70</v>
      </c>
      <c r="D209" s="2" t="s">
        <v>34</v>
      </c>
      <c r="E209" s="2" t="s">
        <v>13</v>
      </c>
      <c r="F209" s="2" t="s">
        <v>14</v>
      </c>
      <c r="G209" s="2" t="s">
        <v>39</v>
      </c>
      <c r="H209" s="2" t="s">
        <v>43</v>
      </c>
      <c r="I209" s="2" t="s">
        <v>56</v>
      </c>
      <c r="J209" s="2">
        <f>YEAR(Table1[[#This Row],[Data]])</f>
        <v>2016</v>
      </c>
      <c r="K209" s="2" t="str">
        <f>TEXT(Table1[[#This Row],[Data]],"mm")</f>
        <v>09</v>
      </c>
    </row>
    <row r="210" spans="1:11">
      <c r="A210" s="3">
        <v>42619</v>
      </c>
      <c r="B210" s="2" t="s">
        <v>30</v>
      </c>
      <c r="C210" s="2" t="s">
        <v>75</v>
      </c>
      <c r="D210" s="2" t="s">
        <v>35</v>
      </c>
      <c r="E210" s="2" t="s">
        <v>13</v>
      </c>
      <c r="F210" s="2" t="s">
        <v>14</v>
      </c>
      <c r="G210" s="2" t="s">
        <v>40</v>
      </c>
      <c r="H210" s="2" t="s">
        <v>43</v>
      </c>
      <c r="I210" s="2" t="s">
        <v>36</v>
      </c>
      <c r="J210" s="2">
        <f>YEAR(Table1[[#This Row],[Data]])</f>
        <v>2016</v>
      </c>
      <c r="K210" s="2" t="str">
        <f>TEXT(Table1[[#This Row],[Data]],"mm")</f>
        <v>09</v>
      </c>
    </row>
    <row r="211" spans="1:11">
      <c r="A211" s="3">
        <v>42626</v>
      </c>
      <c r="B211" s="2" t="s">
        <v>29</v>
      </c>
      <c r="C211" s="2" t="s">
        <v>68</v>
      </c>
      <c r="D211" s="2" t="s">
        <v>35</v>
      </c>
      <c r="E211" s="2" t="s">
        <v>13</v>
      </c>
      <c r="F211" s="2" t="s">
        <v>16</v>
      </c>
      <c r="G211" s="2" t="s">
        <v>40</v>
      </c>
      <c r="H211" s="2" t="s">
        <v>44</v>
      </c>
      <c r="I211" s="2" t="s">
        <v>36</v>
      </c>
      <c r="J211" s="2">
        <f>YEAR(Table1[[#This Row],[Data]])</f>
        <v>2016</v>
      </c>
      <c r="K211" s="2" t="str">
        <f>TEXT(Table1[[#This Row],[Data]],"mm")</f>
        <v>09</v>
      </c>
    </row>
    <row r="212" spans="1:11">
      <c r="A212" s="3">
        <v>42625</v>
      </c>
      <c r="B212" s="2" t="s">
        <v>29</v>
      </c>
      <c r="C212" s="2" t="s">
        <v>83</v>
      </c>
      <c r="D212" s="2" t="s">
        <v>36</v>
      </c>
      <c r="E212" s="2" t="s">
        <v>15</v>
      </c>
      <c r="F212" s="2" t="s">
        <v>16</v>
      </c>
      <c r="G212" s="2" t="s">
        <v>39</v>
      </c>
      <c r="H212" s="2" t="s">
        <v>43</v>
      </c>
      <c r="I212" s="2" t="s">
        <v>36</v>
      </c>
      <c r="J212" s="2">
        <f>YEAR(Table1[[#This Row],[Data]])</f>
        <v>2016</v>
      </c>
      <c r="K212" s="2" t="str">
        <f>TEXT(Table1[[#This Row],[Data]],"mm")</f>
        <v>09</v>
      </c>
    </row>
    <row r="213" spans="1:11">
      <c r="A213" s="3">
        <v>42626</v>
      </c>
      <c r="B213" s="2" t="s">
        <v>30</v>
      </c>
      <c r="C213" s="2" t="s">
        <v>70</v>
      </c>
      <c r="D213" s="2" t="s">
        <v>34</v>
      </c>
      <c r="E213" s="2" t="s">
        <v>13</v>
      </c>
      <c r="F213" s="2" t="s">
        <v>14</v>
      </c>
      <c r="G213" s="2" t="s">
        <v>40</v>
      </c>
      <c r="H213" s="2" t="s">
        <v>43</v>
      </c>
      <c r="I213" s="2" t="s">
        <v>79</v>
      </c>
      <c r="J213" s="2">
        <f>YEAR(Table1[[#This Row],[Data]])</f>
        <v>2016</v>
      </c>
      <c r="K213" s="2" t="str">
        <f>TEXT(Table1[[#This Row],[Data]],"mm")</f>
        <v>09</v>
      </c>
    </row>
    <row r="214" spans="1:11">
      <c r="A214" s="3">
        <v>42628</v>
      </c>
      <c r="B214" s="2" t="s">
        <v>31</v>
      </c>
      <c r="C214" s="2" t="s">
        <v>80</v>
      </c>
      <c r="D214" s="2" t="s">
        <v>36</v>
      </c>
      <c r="E214" s="2" t="s">
        <v>13</v>
      </c>
      <c r="F214" s="2" t="s">
        <v>13</v>
      </c>
      <c r="G214" s="2" t="s">
        <v>40</v>
      </c>
      <c r="H214" s="2" t="s">
        <v>44</v>
      </c>
      <c r="I214" s="2" t="s">
        <v>36</v>
      </c>
      <c r="J214" s="2">
        <f>YEAR(Table1[[#This Row],[Data]])</f>
        <v>2016</v>
      </c>
      <c r="K214" s="2" t="str">
        <f>TEXT(Table1[[#This Row],[Data]],"mm")</f>
        <v>09</v>
      </c>
    </row>
    <row r="215" spans="1:11">
      <c r="A215" s="3">
        <v>42630</v>
      </c>
      <c r="B215" s="2" t="s">
        <v>29</v>
      </c>
      <c r="C215" s="2" t="s">
        <v>71</v>
      </c>
      <c r="D215" s="2" t="s">
        <v>34</v>
      </c>
      <c r="E215" s="2" t="s">
        <v>13</v>
      </c>
      <c r="F215" s="2" t="s">
        <v>14</v>
      </c>
      <c r="G215" s="2" t="s">
        <v>40</v>
      </c>
      <c r="H215" s="2" t="s">
        <v>44</v>
      </c>
      <c r="I215" s="2" t="s">
        <v>51</v>
      </c>
      <c r="J215" s="2">
        <f>YEAR(Table1[[#This Row],[Data]])</f>
        <v>2016</v>
      </c>
      <c r="K215" s="2" t="str">
        <f>TEXT(Table1[[#This Row],[Data]],"mm")</f>
        <v>09</v>
      </c>
    </row>
    <row r="216" spans="1:11">
      <c r="A216" s="3">
        <v>42629</v>
      </c>
      <c r="B216" s="2" t="s">
        <v>30</v>
      </c>
      <c r="C216" s="2" t="s">
        <v>70</v>
      </c>
      <c r="D216" s="2" t="s">
        <v>34</v>
      </c>
      <c r="E216" s="2" t="s">
        <v>14</v>
      </c>
      <c r="F216" s="2" t="s">
        <v>16</v>
      </c>
      <c r="G216" s="2" t="s">
        <v>40</v>
      </c>
      <c r="H216" s="2" t="s">
        <v>43</v>
      </c>
      <c r="I216" s="2" t="s">
        <v>61</v>
      </c>
      <c r="J216" s="2">
        <f>YEAR(Table1[[#This Row],[Data]])</f>
        <v>2016</v>
      </c>
      <c r="K216" s="2" t="str">
        <f>TEXT(Table1[[#This Row],[Data]],"mm")</f>
        <v>09</v>
      </c>
    </row>
    <row r="217" spans="1:11">
      <c r="A217" s="3">
        <v>42633</v>
      </c>
      <c r="B217" s="2" t="s">
        <v>31</v>
      </c>
      <c r="C217" s="2" t="s">
        <v>80</v>
      </c>
      <c r="D217" s="2" t="s">
        <v>36</v>
      </c>
      <c r="E217" s="2" t="s">
        <v>13</v>
      </c>
      <c r="F217" s="2" t="s">
        <v>13</v>
      </c>
      <c r="G217" s="2" t="s">
        <v>40</v>
      </c>
      <c r="H217" s="2" t="s">
        <v>44</v>
      </c>
      <c r="I217" s="2" t="s">
        <v>58</v>
      </c>
      <c r="J217" s="2">
        <f>YEAR(Table1[[#This Row],[Data]])</f>
        <v>2016</v>
      </c>
      <c r="K217" s="2" t="str">
        <f>TEXT(Table1[[#This Row],[Data]],"mm")</f>
        <v>09</v>
      </c>
    </row>
    <row r="218" spans="1:11">
      <c r="A218" s="3">
        <v>42633</v>
      </c>
      <c r="B218" s="2" t="s">
        <v>30</v>
      </c>
      <c r="C218" s="2" t="s">
        <v>70</v>
      </c>
      <c r="D218" s="2" t="s">
        <v>34</v>
      </c>
      <c r="E218" s="2" t="s">
        <v>13</v>
      </c>
      <c r="F218" s="2" t="s">
        <v>14</v>
      </c>
      <c r="G218" s="2" t="s">
        <v>40</v>
      </c>
      <c r="H218" s="2" t="s">
        <v>45</v>
      </c>
      <c r="I218" s="2" t="s">
        <v>78</v>
      </c>
      <c r="J218" s="2">
        <f>YEAR(Table1[[#This Row],[Data]])</f>
        <v>2016</v>
      </c>
      <c r="K218" s="2" t="str">
        <f>TEXT(Table1[[#This Row],[Data]],"mm")</f>
        <v>09</v>
      </c>
    </row>
    <row r="219" spans="1:11">
      <c r="A219" s="3">
        <v>42633</v>
      </c>
      <c r="B219" s="2" t="s">
        <v>29</v>
      </c>
      <c r="C219" s="2" t="s">
        <v>71</v>
      </c>
      <c r="D219" s="2" t="s">
        <v>34</v>
      </c>
      <c r="E219" s="2" t="s">
        <v>13</v>
      </c>
      <c r="F219" s="2" t="s">
        <v>14</v>
      </c>
      <c r="G219" s="2" t="s">
        <v>40</v>
      </c>
      <c r="H219" s="2" t="s">
        <v>44</v>
      </c>
      <c r="I219" s="2" t="s">
        <v>36</v>
      </c>
      <c r="J219" s="2">
        <f>YEAR(Table1[[#This Row],[Data]])</f>
        <v>2016</v>
      </c>
      <c r="K219" s="2" t="str">
        <f>TEXT(Table1[[#This Row],[Data]],"mm")</f>
        <v>09</v>
      </c>
    </row>
    <row r="220" spans="1:11">
      <c r="A220" s="3">
        <v>42634</v>
      </c>
      <c r="B220" s="2" t="s">
        <v>29</v>
      </c>
      <c r="C220" s="2" t="s">
        <v>68</v>
      </c>
      <c r="D220" s="2" t="s">
        <v>35</v>
      </c>
      <c r="E220" s="2" t="s">
        <v>13</v>
      </c>
      <c r="F220" s="2" t="s">
        <v>15</v>
      </c>
      <c r="G220" s="2" t="s">
        <v>40</v>
      </c>
      <c r="H220" s="2" t="s">
        <v>44</v>
      </c>
      <c r="I220" s="2" t="s">
        <v>36</v>
      </c>
      <c r="J220" s="2">
        <f>YEAR(Table1[[#This Row],[Data]])</f>
        <v>2016</v>
      </c>
      <c r="K220" s="2" t="str">
        <f>TEXT(Table1[[#This Row],[Data]],"mm")</f>
        <v>09</v>
      </c>
    </row>
    <row r="221" spans="1:11">
      <c r="A221" s="3">
        <v>42634</v>
      </c>
      <c r="B221" s="2" t="s">
        <v>30</v>
      </c>
      <c r="C221" s="2" t="s">
        <v>70</v>
      </c>
      <c r="D221" s="2" t="s">
        <v>34</v>
      </c>
      <c r="E221" s="2" t="s">
        <v>14</v>
      </c>
      <c r="F221" s="2" t="s">
        <v>15</v>
      </c>
      <c r="G221" s="2" t="s">
        <v>40</v>
      </c>
      <c r="H221" s="2" t="s">
        <v>44</v>
      </c>
      <c r="I221" s="2" t="s">
        <v>52</v>
      </c>
      <c r="J221" s="2">
        <f>YEAR(Table1[[#This Row],[Data]])</f>
        <v>2016</v>
      </c>
      <c r="K221" s="2" t="str">
        <f>TEXT(Table1[[#This Row],[Data]],"mm")</f>
        <v>09</v>
      </c>
    </row>
    <row r="222" spans="1:11">
      <c r="A222" s="3">
        <v>42635</v>
      </c>
      <c r="B222" s="2" t="s">
        <v>29</v>
      </c>
      <c r="C222" s="2" t="s">
        <v>66</v>
      </c>
      <c r="D222" s="2" t="s">
        <v>35</v>
      </c>
      <c r="E222" s="2" t="s">
        <v>13</v>
      </c>
      <c r="F222" s="2" t="s">
        <v>16</v>
      </c>
      <c r="G222" s="2" t="s">
        <v>40</v>
      </c>
      <c r="H222" s="2" t="s">
        <v>43</v>
      </c>
      <c r="I222" s="2" t="s">
        <v>36</v>
      </c>
      <c r="J222" s="2">
        <f>YEAR(Table1[[#This Row],[Data]])</f>
        <v>2016</v>
      </c>
      <c r="K222" s="2" t="str">
        <f>TEXT(Table1[[#This Row],[Data]],"mm")</f>
        <v>09</v>
      </c>
    </row>
    <row r="223" spans="1:11">
      <c r="A223" s="3">
        <v>42635</v>
      </c>
      <c r="B223" s="2" t="s">
        <v>29</v>
      </c>
      <c r="C223" s="2" t="s">
        <v>71</v>
      </c>
      <c r="D223" s="2" t="s">
        <v>34</v>
      </c>
      <c r="E223" s="2" t="s">
        <v>13</v>
      </c>
      <c r="F223" s="2" t="s">
        <v>15</v>
      </c>
      <c r="G223" s="2" t="s">
        <v>40</v>
      </c>
      <c r="H223" s="2" t="s">
        <v>43</v>
      </c>
      <c r="I223" s="2" t="s">
        <v>36</v>
      </c>
      <c r="J223" s="2">
        <f>YEAR(Table1[[#This Row],[Data]])</f>
        <v>2016</v>
      </c>
      <c r="K223" s="2" t="str">
        <f>TEXT(Table1[[#This Row],[Data]],"mm")</f>
        <v>09</v>
      </c>
    </row>
    <row r="224" spans="1:11">
      <c r="A224" s="3">
        <v>42640</v>
      </c>
      <c r="B224" s="2" t="s">
        <v>29</v>
      </c>
      <c r="C224" s="2" t="s">
        <v>71</v>
      </c>
      <c r="D224" s="2" t="s">
        <v>34</v>
      </c>
      <c r="E224" s="2" t="s">
        <v>13</v>
      </c>
      <c r="F224" s="2" t="s">
        <v>14</v>
      </c>
      <c r="G224" s="2" t="s">
        <v>39</v>
      </c>
      <c r="H224" s="2" t="s">
        <v>44</v>
      </c>
      <c r="I224" s="2" t="s">
        <v>61</v>
      </c>
      <c r="J224" s="2">
        <f>YEAR(Table1[[#This Row],[Data]])</f>
        <v>2016</v>
      </c>
      <c r="K224" s="2" t="str">
        <f>TEXT(Table1[[#This Row],[Data]],"mm")</f>
        <v>09</v>
      </c>
    </row>
    <row r="225" spans="1:11">
      <c r="A225" s="3">
        <v>42642</v>
      </c>
      <c r="B225" s="2" t="s">
        <v>29</v>
      </c>
      <c r="C225" s="2" t="s">
        <v>69</v>
      </c>
      <c r="D225" s="2" t="s">
        <v>35</v>
      </c>
      <c r="E225" s="2" t="s">
        <v>13</v>
      </c>
      <c r="F225" s="2" t="s">
        <v>14</v>
      </c>
      <c r="G225" s="2" t="s">
        <v>40</v>
      </c>
      <c r="H225" s="2" t="s">
        <v>44</v>
      </c>
      <c r="I225" s="2" t="s">
        <v>36</v>
      </c>
      <c r="J225" s="2">
        <f>YEAR(Table1[[#This Row],[Data]])</f>
        <v>2016</v>
      </c>
      <c r="K225" s="2" t="str">
        <f>TEXT(Table1[[#This Row],[Data]],"mm")</f>
        <v>09</v>
      </c>
    </row>
    <row r="226" spans="1:11">
      <c r="A226" s="3">
        <v>42643</v>
      </c>
      <c r="B226" s="2" t="s">
        <v>29</v>
      </c>
      <c r="C226" s="2" t="s">
        <v>69</v>
      </c>
      <c r="D226" s="2" t="s">
        <v>35</v>
      </c>
      <c r="E226" s="2" t="s">
        <v>13</v>
      </c>
      <c r="F226" s="2" t="s">
        <v>13</v>
      </c>
      <c r="G226" s="2" t="s">
        <v>40</v>
      </c>
      <c r="H226" s="2" t="s">
        <v>43</v>
      </c>
      <c r="I226" s="2" t="s">
        <v>36</v>
      </c>
      <c r="J226" s="2">
        <f>YEAR(Table1[[#This Row],[Data]])</f>
        <v>2016</v>
      </c>
      <c r="K226" s="2" t="str">
        <f>TEXT(Table1[[#This Row],[Data]],"mm")</f>
        <v>09</v>
      </c>
    </row>
    <row r="227" spans="1:11">
      <c r="A227" s="3">
        <v>42644</v>
      </c>
      <c r="B227" s="2" t="s">
        <v>29</v>
      </c>
      <c r="C227" s="2" t="s">
        <v>69</v>
      </c>
      <c r="D227" s="2" t="s">
        <v>35</v>
      </c>
      <c r="E227" s="2" t="s">
        <v>14</v>
      </c>
      <c r="F227" s="2" t="s">
        <v>15</v>
      </c>
      <c r="G227" s="2" t="s">
        <v>40</v>
      </c>
      <c r="H227" s="2" t="s">
        <v>44</v>
      </c>
      <c r="I227" s="2" t="s">
        <v>36</v>
      </c>
      <c r="J227" s="2">
        <f>YEAR(Table1[[#This Row],[Data]])</f>
        <v>2016</v>
      </c>
      <c r="K227" s="2" t="str">
        <f>TEXT(Table1[[#This Row],[Data]],"mm")</f>
        <v>10</v>
      </c>
    </row>
    <row r="228" spans="1:11">
      <c r="A228" s="3">
        <v>42646</v>
      </c>
      <c r="B228" s="2" t="s">
        <v>29</v>
      </c>
      <c r="C228" s="2" t="s">
        <v>69</v>
      </c>
      <c r="D228" s="2" t="s">
        <v>35</v>
      </c>
      <c r="E228" s="2" t="s">
        <v>13</v>
      </c>
      <c r="F228" s="2" t="s">
        <v>14</v>
      </c>
      <c r="G228" s="2" t="s">
        <v>40</v>
      </c>
      <c r="H228" s="2" t="s">
        <v>44</v>
      </c>
      <c r="I228" s="2" t="s">
        <v>36</v>
      </c>
      <c r="J228" s="2">
        <f>YEAR(Table1[[#This Row],[Data]])</f>
        <v>2016</v>
      </c>
      <c r="K228" s="2" t="str">
        <f>TEXT(Table1[[#This Row],[Data]],"mm")</f>
        <v>10</v>
      </c>
    </row>
    <row r="229" spans="1:11">
      <c r="A229" s="3">
        <v>42646</v>
      </c>
      <c r="B229" s="2" t="s">
        <v>30</v>
      </c>
      <c r="C229" s="2" t="s">
        <v>70</v>
      </c>
      <c r="D229" s="2" t="s">
        <v>34</v>
      </c>
      <c r="E229" s="2" t="s">
        <v>13</v>
      </c>
      <c r="F229" s="2" t="s">
        <v>15</v>
      </c>
      <c r="G229" s="2" t="s">
        <v>40</v>
      </c>
      <c r="H229" s="2" t="s">
        <v>43</v>
      </c>
      <c r="I229" s="2" t="s">
        <v>51</v>
      </c>
      <c r="J229" s="2">
        <f>YEAR(Table1[[#This Row],[Data]])</f>
        <v>2016</v>
      </c>
      <c r="K229" s="2" t="str">
        <f>TEXT(Table1[[#This Row],[Data]],"mm")</f>
        <v>10</v>
      </c>
    </row>
    <row r="230" spans="1:11">
      <c r="A230" s="3">
        <v>42646</v>
      </c>
      <c r="B230" s="2" t="s">
        <v>30</v>
      </c>
      <c r="C230" s="2" t="s">
        <v>77</v>
      </c>
      <c r="D230" s="2" t="s">
        <v>34</v>
      </c>
      <c r="E230" s="2" t="s">
        <v>13</v>
      </c>
      <c r="F230" s="2" t="s">
        <v>14</v>
      </c>
      <c r="G230" s="2" t="s">
        <v>40</v>
      </c>
      <c r="H230" s="2" t="s">
        <v>43</v>
      </c>
      <c r="I230" s="2" t="s">
        <v>51</v>
      </c>
      <c r="J230" s="2">
        <f>YEAR(Table1[[#This Row],[Data]])</f>
        <v>2016</v>
      </c>
      <c r="K230" s="2" t="str">
        <f>TEXT(Table1[[#This Row],[Data]],"mm")</f>
        <v>10</v>
      </c>
    </row>
    <row r="231" spans="1:11">
      <c r="A231" s="3">
        <v>42646</v>
      </c>
      <c r="B231" s="2" t="s">
        <v>29</v>
      </c>
      <c r="C231" s="2" t="s">
        <v>68</v>
      </c>
      <c r="D231" s="2" t="s">
        <v>35</v>
      </c>
      <c r="E231" s="2" t="s">
        <v>13</v>
      </c>
      <c r="F231" s="2" t="s">
        <v>16</v>
      </c>
      <c r="G231" s="2" t="s">
        <v>40</v>
      </c>
      <c r="H231" s="2" t="s">
        <v>44</v>
      </c>
      <c r="I231" s="2" t="s">
        <v>36</v>
      </c>
      <c r="J231" s="2">
        <f>YEAR(Table1[[#This Row],[Data]])</f>
        <v>2016</v>
      </c>
      <c r="K231" s="2" t="str">
        <f>TEXT(Table1[[#This Row],[Data]],"mm")</f>
        <v>10</v>
      </c>
    </row>
    <row r="232" spans="1:11">
      <c r="A232" s="3">
        <v>42647</v>
      </c>
      <c r="B232" s="2" t="s">
        <v>31</v>
      </c>
      <c r="C232" s="2" t="s">
        <v>80</v>
      </c>
      <c r="D232" s="2" t="s">
        <v>36</v>
      </c>
      <c r="E232" s="2" t="s">
        <v>15</v>
      </c>
      <c r="F232" s="2" t="s">
        <v>15</v>
      </c>
      <c r="G232" s="2" t="s">
        <v>40</v>
      </c>
      <c r="H232" s="2" t="s">
        <v>43</v>
      </c>
      <c r="I232" s="2" t="s">
        <v>36</v>
      </c>
      <c r="J232" s="2">
        <f>YEAR(Table1[[#This Row],[Data]])</f>
        <v>2016</v>
      </c>
      <c r="K232" s="2" t="str">
        <f>TEXT(Table1[[#This Row],[Data]],"mm")</f>
        <v>10</v>
      </c>
    </row>
    <row r="233" spans="1:11">
      <c r="A233" s="3">
        <v>42651</v>
      </c>
      <c r="B233" s="2" t="s">
        <v>29</v>
      </c>
      <c r="C233" s="2" t="s">
        <v>69</v>
      </c>
      <c r="D233" s="2" t="s">
        <v>35</v>
      </c>
      <c r="E233" s="2" t="s">
        <v>14</v>
      </c>
      <c r="F233" s="2" t="s">
        <v>14</v>
      </c>
      <c r="G233" s="2" t="s">
        <v>40</v>
      </c>
      <c r="H233" s="2" t="s">
        <v>44</v>
      </c>
      <c r="I233" s="2" t="s">
        <v>36</v>
      </c>
      <c r="J233" s="2">
        <f>YEAR(Table1[[#This Row],[Data]])</f>
        <v>2016</v>
      </c>
      <c r="K233" s="2" t="str">
        <f>TEXT(Table1[[#This Row],[Data]],"mm")</f>
        <v>10</v>
      </c>
    </row>
    <row r="234" spans="1:11">
      <c r="A234" s="3">
        <v>42653</v>
      </c>
      <c r="B234" s="2" t="s">
        <v>29</v>
      </c>
      <c r="C234" s="2" t="s">
        <v>68</v>
      </c>
      <c r="D234" s="2" t="s">
        <v>35</v>
      </c>
      <c r="E234" s="2" t="s">
        <v>13</v>
      </c>
      <c r="F234" s="2" t="s">
        <v>16</v>
      </c>
      <c r="G234" s="2" t="s">
        <v>40</v>
      </c>
      <c r="H234" s="2" t="s">
        <v>45</v>
      </c>
      <c r="I234" s="2" t="s">
        <v>36</v>
      </c>
      <c r="J234" s="2">
        <f>YEAR(Table1[[#This Row],[Data]])</f>
        <v>2016</v>
      </c>
      <c r="K234" s="2" t="str">
        <f>TEXT(Table1[[#This Row],[Data]],"mm")</f>
        <v>10</v>
      </c>
    </row>
    <row r="235" spans="1:11">
      <c r="A235" s="3">
        <v>42653</v>
      </c>
      <c r="B235" s="2" t="s">
        <v>29</v>
      </c>
      <c r="C235" s="2" t="s">
        <v>69</v>
      </c>
      <c r="D235" s="2" t="s">
        <v>35</v>
      </c>
      <c r="E235" s="2" t="s">
        <v>15</v>
      </c>
      <c r="F235" s="2" t="s">
        <v>16</v>
      </c>
      <c r="G235" s="2" t="s">
        <v>40</v>
      </c>
      <c r="H235" s="2" t="s">
        <v>43</v>
      </c>
      <c r="I235" s="2" t="s">
        <v>36</v>
      </c>
      <c r="J235" s="2">
        <f>YEAR(Table1[[#This Row],[Data]])</f>
        <v>2016</v>
      </c>
      <c r="K235" s="2" t="str">
        <f>TEXT(Table1[[#This Row],[Data]],"mm")</f>
        <v>10</v>
      </c>
    </row>
    <row r="236" spans="1:11">
      <c r="A236" s="3">
        <v>42654</v>
      </c>
      <c r="B236" s="2" t="s">
        <v>30</v>
      </c>
      <c r="C236" s="2" t="s">
        <v>70</v>
      </c>
      <c r="D236" s="2" t="s">
        <v>34</v>
      </c>
      <c r="E236" s="2" t="s">
        <v>13</v>
      </c>
      <c r="F236" s="2" t="s">
        <v>15</v>
      </c>
      <c r="G236" s="2" t="s">
        <v>40</v>
      </c>
      <c r="H236" s="2" t="s">
        <v>43</v>
      </c>
      <c r="I236" s="2" t="s">
        <v>54</v>
      </c>
      <c r="J236" s="2">
        <f>YEAR(Table1[[#This Row],[Data]])</f>
        <v>2016</v>
      </c>
      <c r="K236" s="2" t="str">
        <f>TEXT(Table1[[#This Row],[Data]],"mm")</f>
        <v>10</v>
      </c>
    </row>
    <row r="237" spans="1:11">
      <c r="A237" s="3">
        <v>42656</v>
      </c>
      <c r="B237" s="2" t="s">
        <v>30</v>
      </c>
      <c r="C237" s="2" t="s">
        <v>67</v>
      </c>
      <c r="D237" s="2" t="s">
        <v>35</v>
      </c>
      <c r="E237" s="2" t="s">
        <v>14</v>
      </c>
      <c r="F237" s="2" t="s">
        <v>14</v>
      </c>
      <c r="G237" s="2" t="s">
        <v>40</v>
      </c>
      <c r="H237" s="2" t="s">
        <v>45</v>
      </c>
      <c r="I237" s="2" t="s">
        <v>36</v>
      </c>
      <c r="J237" s="2">
        <f>YEAR(Table1[[#This Row],[Data]])</f>
        <v>2016</v>
      </c>
      <c r="K237" s="2" t="str">
        <f>TEXT(Table1[[#This Row],[Data]],"mm")</f>
        <v>10</v>
      </c>
    </row>
    <row r="238" spans="1:11">
      <c r="A238" s="3">
        <v>42656</v>
      </c>
      <c r="B238" s="2" t="s">
        <v>29</v>
      </c>
      <c r="C238" s="2" t="s">
        <v>68</v>
      </c>
      <c r="D238" s="2" t="s">
        <v>35</v>
      </c>
      <c r="E238" s="2" t="s">
        <v>15</v>
      </c>
      <c r="F238" s="2" t="s">
        <v>16</v>
      </c>
      <c r="G238" s="2" t="s">
        <v>40</v>
      </c>
      <c r="H238" s="2" t="s">
        <v>43</v>
      </c>
      <c r="I238" s="2" t="s">
        <v>36</v>
      </c>
      <c r="J238" s="2">
        <f>YEAR(Table1[[#This Row],[Data]])</f>
        <v>2016</v>
      </c>
      <c r="K238" s="2" t="str">
        <f>TEXT(Table1[[#This Row],[Data]],"mm")</f>
        <v>10</v>
      </c>
    </row>
    <row r="239" spans="1:11">
      <c r="A239" s="3">
        <v>42661</v>
      </c>
      <c r="B239" s="2" t="s">
        <v>29</v>
      </c>
      <c r="C239" s="2" t="s">
        <v>68</v>
      </c>
      <c r="D239" s="2" t="s">
        <v>35</v>
      </c>
      <c r="E239" s="2" t="s">
        <v>16</v>
      </c>
      <c r="F239" s="2" t="s">
        <v>16</v>
      </c>
      <c r="G239" s="2" t="s">
        <v>40</v>
      </c>
      <c r="H239" s="2" t="s">
        <v>44</v>
      </c>
      <c r="I239" s="2" t="s">
        <v>36</v>
      </c>
      <c r="J239" s="2">
        <f>YEAR(Table1[[#This Row],[Data]])</f>
        <v>2016</v>
      </c>
      <c r="K239" s="2" t="str">
        <f>TEXT(Table1[[#This Row],[Data]],"mm")</f>
        <v>10</v>
      </c>
    </row>
    <row r="240" spans="1:11">
      <c r="A240" s="3">
        <v>42661</v>
      </c>
      <c r="B240" s="2" t="s">
        <v>29</v>
      </c>
      <c r="C240" s="2" t="s">
        <v>68</v>
      </c>
      <c r="D240" s="2" t="s">
        <v>35</v>
      </c>
      <c r="E240" s="2" t="s">
        <v>13</v>
      </c>
      <c r="F240" s="2" t="s">
        <v>16</v>
      </c>
      <c r="G240" s="2" t="s">
        <v>40</v>
      </c>
      <c r="H240" s="2" t="s">
        <v>44</v>
      </c>
      <c r="I240" s="2" t="s">
        <v>36</v>
      </c>
      <c r="J240" s="2">
        <f>YEAR(Table1[[#This Row],[Data]])</f>
        <v>2016</v>
      </c>
      <c r="K240" s="2" t="str">
        <f>TEXT(Table1[[#This Row],[Data]],"mm")</f>
        <v>10</v>
      </c>
    </row>
    <row r="241" spans="1:11">
      <c r="A241" s="3">
        <v>42663</v>
      </c>
      <c r="B241" s="2" t="s">
        <v>30</v>
      </c>
      <c r="C241" s="2" t="s">
        <v>70</v>
      </c>
      <c r="D241" s="2" t="s">
        <v>34</v>
      </c>
      <c r="E241" s="2" t="s">
        <v>13</v>
      </c>
      <c r="F241" s="2" t="s">
        <v>15</v>
      </c>
      <c r="G241" s="2" t="s">
        <v>40</v>
      </c>
      <c r="H241" s="2" t="s">
        <v>43</v>
      </c>
      <c r="I241" s="2" t="s">
        <v>61</v>
      </c>
      <c r="J241" s="2">
        <f>YEAR(Table1[[#This Row],[Data]])</f>
        <v>2016</v>
      </c>
      <c r="K241" s="2" t="str">
        <f>TEXT(Table1[[#This Row],[Data]],"mm")</f>
        <v>10</v>
      </c>
    </row>
    <row r="242" spans="1:11">
      <c r="A242" s="3">
        <v>42666</v>
      </c>
      <c r="B242" s="2" t="s">
        <v>30</v>
      </c>
      <c r="C242" s="2" t="s">
        <v>67</v>
      </c>
      <c r="D242" s="2" t="s">
        <v>35</v>
      </c>
      <c r="E242" s="2" t="s">
        <v>14</v>
      </c>
      <c r="F242" s="2" t="s">
        <v>16</v>
      </c>
      <c r="G242" s="2" t="s">
        <v>40</v>
      </c>
      <c r="H242" s="2" t="s">
        <v>43</v>
      </c>
      <c r="I242" s="2" t="s">
        <v>36</v>
      </c>
      <c r="J242" s="2">
        <f>YEAR(Table1[[#This Row],[Data]])</f>
        <v>2016</v>
      </c>
      <c r="K242" s="2" t="str">
        <f>TEXT(Table1[[#This Row],[Data]],"mm")</f>
        <v>10</v>
      </c>
    </row>
    <row r="243" spans="1:11">
      <c r="A243" s="3">
        <v>42667</v>
      </c>
      <c r="B243" s="2" t="s">
        <v>29</v>
      </c>
      <c r="C243" s="2" t="s">
        <v>66</v>
      </c>
      <c r="D243" s="2" t="s">
        <v>35</v>
      </c>
      <c r="E243" s="2" t="s">
        <v>13</v>
      </c>
      <c r="F243" s="2" t="s">
        <v>16</v>
      </c>
      <c r="G243" s="2" t="s">
        <v>40</v>
      </c>
      <c r="H243" s="2" t="s">
        <v>44</v>
      </c>
      <c r="I243" s="2" t="s">
        <v>36</v>
      </c>
      <c r="J243" s="2">
        <f>YEAR(Table1[[#This Row],[Data]])</f>
        <v>2016</v>
      </c>
      <c r="K243" s="2" t="str">
        <f>TEXT(Table1[[#This Row],[Data]],"mm")</f>
        <v>10</v>
      </c>
    </row>
    <row r="244" spans="1:11">
      <c r="A244" s="3">
        <v>42669</v>
      </c>
      <c r="B244" s="2" t="s">
        <v>29</v>
      </c>
      <c r="C244" s="2" t="s">
        <v>66</v>
      </c>
      <c r="D244" s="2" t="s">
        <v>35</v>
      </c>
      <c r="E244" s="2" t="s">
        <v>15</v>
      </c>
      <c r="F244" s="2" t="s">
        <v>16</v>
      </c>
      <c r="G244" s="2" t="s">
        <v>40</v>
      </c>
      <c r="H244" s="2" t="s">
        <v>43</v>
      </c>
      <c r="I244" s="2" t="s">
        <v>36</v>
      </c>
      <c r="J244" s="2">
        <f>YEAR(Table1[[#This Row],[Data]])</f>
        <v>2016</v>
      </c>
      <c r="K244" s="2" t="str">
        <f>TEXT(Table1[[#This Row],[Data]],"mm")</f>
        <v>10</v>
      </c>
    </row>
    <row r="245" spans="1:11">
      <c r="A245" s="3">
        <v>42670</v>
      </c>
      <c r="B245" s="2" t="s">
        <v>29</v>
      </c>
      <c r="C245" s="2" t="s">
        <v>68</v>
      </c>
      <c r="D245" s="2" t="s">
        <v>35</v>
      </c>
      <c r="E245" s="2" t="s">
        <v>13</v>
      </c>
      <c r="F245" s="2" t="s">
        <v>16</v>
      </c>
      <c r="G245" s="2" t="s">
        <v>40</v>
      </c>
      <c r="H245" s="2" t="s">
        <v>43</v>
      </c>
      <c r="I245" s="2" t="s">
        <v>36</v>
      </c>
      <c r="J245" s="2">
        <f>YEAR(Table1[[#This Row],[Data]])</f>
        <v>2016</v>
      </c>
      <c r="K245" s="2" t="str">
        <f>TEXT(Table1[[#This Row],[Data]],"mm")</f>
        <v>10</v>
      </c>
    </row>
    <row r="246" spans="1:11">
      <c r="A246" s="3">
        <v>42672</v>
      </c>
      <c r="B246" s="2" t="s">
        <v>29</v>
      </c>
      <c r="C246" s="2" t="s">
        <v>68</v>
      </c>
      <c r="D246" s="2" t="s">
        <v>35</v>
      </c>
      <c r="E246" s="2" t="s">
        <v>13</v>
      </c>
      <c r="F246" s="2" t="s">
        <v>16</v>
      </c>
      <c r="G246" s="2" t="s">
        <v>40</v>
      </c>
      <c r="H246" s="2" t="s">
        <v>43</v>
      </c>
      <c r="I246" s="2" t="s">
        <v>36</v>
      </c>
      <c r="J246" s="2">
        <f>YEAR(Table1[[#This Row],[Data]])</f>
        <v>2016</v>
      </c>
      <c r="K246" s="2" t="str">
        <f>TEXT(Table1[[#This Row],[Data]],"mm")</f>
        <v>10</v>
      </c>
    </row>
    <row r="247" spans="1:11">
      <c r="A247" s="3">
        <v>42672</v>
      </c>
      <c r="B247" s="2" t="s">
        <v>30</v>
      </c>
      <c r="C247" s="2" t="s">
        <v>77</v>
      </c>
      <c r="D247" s="2" t="s">
        <v>34</v>
      </c>
      <c r="E247" s="2" t="s">
        <v>16</v>
      </c>
      <c r="F247" s="2" t="s">
        <v>16</v>
      </c>
      <c r="G247" s="2" t="s">
        <v>40</v>
      </c>
      <c r="H247" s="2" t="s">
        <v>43</v>
      </c>
      <c r="I247" s="2" t="s">
        <v>51</v>
      </c>
      <c r="J247" s="2">
        <f>YEAR(Table1[[#This Row],[Data]])</f>
        <v>2016</v>
      </c>
      <c r="K247" s="2" t="str">
        <f>TEXT(Table1[[#This Row],[Data]],"mm")</f>
        <v>10</v>
      </c>
    </row>
    <row r="248" spans="1:11">
      <c r="A248" s="3">
        <v>42678</v>
      </c>
      <c r="B248" s="2" t="s">
        <v>29</v>
      </c>
      <c r="C248" s="2" t="s">
        <v>68</v>
      </c>
      <c r="D248" s="2" t="s">
        <v>35</v>
      </c>
      <c r="E248" s="2" t="s">
        <v>16</v>
      </c>
      <c r="F248" s="2" t="s">
        <v>17</v>
      </c>
      <c r="G248" s="2" t="s">
        <v>40</v>
      </c>
      <c r="H248" s="2" t="s">
        <v>43</v>
      </c>
      <c r="I248" s="2" t="s">
        <v>36</v>
      </c>
      <c r="J248" s="2">
        <f>YEAR(Table1[[#This Row],[Data]])</f>
        <v>2016</v>
      </c>
      <c r="K248" s="2" t="str">
        <f>TEXT(Table1[[#This Row],[Data]],"mm")</f>
        <v>11</v>
      </c>
    </row>
    <row r="249" spans="1:11">
      <c r="A249" s="3">
        <v>42682</v>
      </c>
      <c r="B249" s="2" t="s">
        <v>29</v>
      </c>
      <c r="C249" s="2" t="s">
        <v>69</v>
      </c>
      <c r="D249" s="2" t="s">
        <v>35</v>
      </c>
      <c r="E249" s="2" t="s">
        <v>13</v>
      </c>
      <c r="F249" s="2" t="s">
        <v>16</v>
      </c>
      <c r="G249" s="2" t="s">
        <v>40</v>
      </c>
      <c r="H249" s="2" t="s">
        <v>43</v>
      </c>
      <c r="I249" s="2" t="s">
        <v>36</v>
      </c>
      <c r="J249" s="2">
        <f>YEAR(Table1[[#This Row],[Data]])</f>
        <v>2016</v>
      </c>
      <c r="K249" s="2" t="str">
        <f>TEXT(Table1[[#This Row],[Data]],"mm")</f>
        <v>11</v>
      </c>
    </row>
    <row r="250" spans="1:11">
      <c r="A250" s="3">
        <v>42682</v>
      </c>
      <c r="B250" s="2" t="s">
        <v>30</v>
      </c>
      <c r="C250" s="2" t="s">
        <v>77</v>
      </c>
      <c r="D250" s="2" t="s">
        <v>34</v>
      </c>
      <c r="E250" s="2" t="s">
        <v>13</v>
      </c>
      <c r="F250" s="2" t="s">
        <v>14</v>
      </c>
      <c r="G250" s="2" t="s">
        <v>40</v>
      </c>
      <c r="H250" s="2" t="s">
        <v>43</v>
      </c>
      <c r="I250" s="2" t="s">
        <v>36</v>
      </c>
      <c r="J250" s="2">
        <f>YEAR(Table1[[#This Row],[Data]])</f>
        <v>2016</v>
      </c>
      <c r="K250" s="2" t="str">
        <f>TEXT(Table1[[#This Row],[Data]],"mm")</f>
        <v>11</v>
      </c>
    </row>
    <row r="251" spans="1:11">
      <c r="A251" s="3">
        <v>42685</v>
      </c>
      <c r="B251" s="2" t="s">
        <v>29</v>
      </c>
      <c r="C251" s="2" t="s">
        <v>71</v>
      </c>
      <c r="D251" s="2" t="s">
        <v>34</v>
      </c>
      <c r="E251" s="2" t="s">
        <v>16</v>
      </c>
      <c r="F251" s="2" t="s">
        <v>16</v>
      </c>
      <c r="G251" s="2" t="s">
        <v>40</v>
      </c>
      <c r="H251" s="2" t="s">
        <v>43</v>
      </c>
      <c r="I251" s="2" t="s">
        <v>36</v>
      </c>
      <c r="J251" s="2">
        <f>YEAR(Table1[[#This Row],[Data]])</f>
        <v>2016</v>
      </c>
      <c r="K251" s="2" t="str">
        <f>TEXT(Table1[[#This Row],[Data]],"mm")</f>
        <v>11</v>
      </c>
    </row>
    <row r="252" spans="1:11">
      <c r="A252" s="3">
        <v>42687</v>
      </c>
      <c r="B252" s="2" t="s">
        <v>29</v>
      </c>
      <c r="C252" s="2" t="s">
        <v>71</v>
      </c>
      <c r="D252" s="2" t="s">
        <v>34</v>
      </c>
      <c r="E252" s="2" t="s">
        <v>13</v>
      </c>
      <c r="F252" s="2" t="s">
        <v>14</v>
      </c>
      <c r="G252" s="2" t="s">
        <v>40</v>
      </c>
      <c r="H252" s="2" t="s">
        <v>43</v>
      </c>
      <c r="I252" s="2" t="s">
        <v>89</v>
      </c>
      <c r="J252" s="2">
        <f>YEAR(Table1[[#This Row],[Data]])</f>
        <v>2016</v>
      </c>
      <c r="K252" s="2" t="str">
        <f>TEXT(Table1[[#This Row],[Data]],"mm")</f>
        <v>11</v>
      </c>
    </row>
    <row r="253" spans="1:11">
      <c r="A253" s="3">
        <v>42693</v>
      </c>
      <c r="B253" s="2" t="s">
        <v>29</v>
      </c>
      <c r="C253" s="2" t="s">
        <v>69</v>
      </c>
      <c r="D253" s="2" t="s">
        <v>35</v>
      </c>
      <c r="E253" s="2" t="s">
        <v>15</v>
      </c>
      <c r="F253" s="2" t="s">
        <v>16</v>
      </c>
      <c r="G253" s="2" t="s">
        <v>40</v>
      </c>
      <c r="H253" s="2" t="s">
        <v>44</v>
      </c>
      <c r="I253" s="2" t="s">
        <v>36</v>
      </c>
      <c r="J253" s="2">
        <f>YEAR(Table1[[#This Row],[Data]])</f>
        <v>2016</v>
      </c>
      <c r="K253" s="2" t="str">
        <f>TEXT(Table1[[#This Row],[Data]],"mm")</f>
        <v>11</v>
      </c>
    </row>
    <row r="254" spans="1:11">
      <c r="A254" s="3">
        <v>42695</v>
      </c>
      <c r="B254" s="2" t="s">
        <v>31</v>
      </c>
      <c r="C254" s="2" t="s">
        <v>80</v>
      </c>
      <c r="D254" s="2" t="s">
        <v>36</v>
      </c>
      <c r="E254" s="2" t="s">
        <v>13</v>
      </c>
      <c r="F254" s="2" t="s">
        <v>13</v>
      </c>
      <c r="G254" s="2" t="s">
        <v>40</v>
      </c>
      <c r="H254" s="2" t="s">
        <v>44</v>
      </c>
      <c r="I254" s="2" t="s">
        <v>36</v>
      </c>
      <c r="J254" s="2">
        <f>YEAR(Table1[[#This Row],[Data]])</f>
        <v>2016</v>
      </c>
      <c r="K254" s="2" t="str">
        <f>TEXT(Table1[[#This Row],[Data]],"mm")</f>
        <v>11</v>
      </c>
    </row>
    <row r="255" spans="1:11">
      <c r="A255" s="3">
        <v>42697</v>
      </c>
      <c r="B255" s="2" t="s">
        <v>29</v>
      </c>
      <c r="C255" s="2" t="s">
        <v>71</v>
      </c>
      <c r="D255" s="2" t="s">
        <v>34</v>
      </c>
      <c r="E255" s="2" t="s">
        <v>13</v>
      </c>
      <c r="F255" s="2" t="s">
        <v>16</v>
      </c>
      <c r="G255" s="2" t="s">
        <v>40</v>
      </c>
      <c r="H255" s="2" t="s">
        <v>43</v>
      </c>
      <c r="I255" s="2" t="s">
        <v>36</v>
      </c>
      <c r="J255" s="2">
        <f>YEAR(Table1[[#This Row],[Data]])</f>
        <v>2016</v>
      </c>
      <c r="K255" s="2" t="str">
        <f>TEXT(Table1[[#This Row],[Data]],"mm")</f>
        <v>11</v>
      </c>
    </row>
    <row r="256" spans="1:11">
      <c r="A256" s="3">
        <v>42697</v>
      </c>
      <c r="B256" s="2" t="s">
        <v>29</v>
      </c>
      <c r="C256" s="2" t="s">
        <v>69</v>
      </c>
      <c r="D256" s="2" t="s">
        <v>35</v>
      </c>
      <c r="E256" s="2" t="s">
        <v>13</v>
      </c>
      <c r="F256" s="2" t="s">
        <v>14</v>
      </c>
      <c r="G256" s="2" t="s">
        <v>40</v>
      </c>
      <c r="H256" s="2" t="s">
        <v>43</v>
      </c>
      <c r="I256" s="2" t="s">
        <v>36</v>
      </c>
      <c r="J256" s="2">
        <f>YEAR(Table1[[#This Row],[Data]])</f>
        <v>2016</v>
      </c>
      <c r="K256" s="2" t="str">
        <f>TEXT(Table1[[#This Row],[Data]],"mm")</f>
        <v>11</v>
      </c>
    </row>
    <row r="257" spans="1:11">
      <c r="A257" s="3">
        <v>42699</v>
      </c>
      <c r="B257" s="2" t="s">
        <v>30</v>
      </c>
      <c r="C257" s="2" t="s">
        <v>75</v>
      </c>
      <c r="D257" s="2" t="s">
        <v>35</v>
      </c>
      <c r="E257" s="2" t="s">
        <v>13</v>
      </c>
      <c r="F257" s="2" t="s">
        <v>14</v>
      </c>
      <c r="G257" s="2" t="s">
        <v>40</v>
      </c>
      <c r="H257" s="2" t="s">
        <v>43</v>
      </c>
      <c r="I257" s="2" t="s">
        <v>36</v>
      </c>
      <c r="J257" s="2">
        <f>YEAR(Table1[[#This Row],[Data]])</f>
        <v>2016</v>
      </c>
      <c r="K257" s="2" t="str">
        <f>TEXT(Table1[[#This Row],[Data]],"mm")</f>
        <v>11</v>
      </c>
    </row>
    <row r="258" spans="1:11">
      <c r="A258" s="3">
        <v>42702</v>
      </c>
      <c r="B258" s="2" t="s">
        <v>29</v>
      </c>
      <c r="C258" s="2" t="s">
        <v>68</v>
      </c>
      <c r="D258" s="2" t="s">
        <v>35</v>
      </c>
      <c r="E258" s="2" t="s">
        <v>13</v>
      </c>
      <c r="F258" s="2" t="s">
        <v>13</v>
      </c>
      <c r="G258" s="2" t="s">
        <v>40</v>
      </c>
      <c r="H258" s="2" t="s">
        <v>44</v>
      </c>
      <c r="I258" s="2" t="s">
        <v>36</v>
      </c>
      <c r="J258" s="2">
        <f>YEAR(Table1[[#This Row],[Data]])</f>
        <v>2016</v>
      </c>
      <c r="K258" s="2" t="str">
        <f>TEXT(Table1[[#This Row],[Data]],"mm")</f>
        <v>11</v>
      </c>
    </row>
    <row r="259" spans="1:11">
      <c r="A259" s="3">
        <v>42703</v>
      </c>
      <c r="B259" s="2" t="s">
        <v>30</v>
      </c>
      <c r="C259" s="2" t="s">
        <v>77</v>
      </c>
      <c r="D259" s="2" t="s">
        <v>34</v>
      </c>
      <c r="E259" s="2" t="s">
        <v>14</v>
      </c>
      <c r="F259" s="2" t="s">
        <v>15</v>
      </c>
      <c r="G259" s="2" t="s">
        <v>40</v>
      </c>
      <c r="H259" s="2" t="s">
        <v>43</v>
      </c>
      <c r="I259" s="2" t="s">
        <v>36</v>
      </c>
      <c r="J259" s="2">
        <f>YEAR(Table1[[#This Row],[Data]])</f>
        <v>2016</v>
      </c>
      <c r="K259" s="2" t="str">
        <f>TEXT(Table1[[#This Row],[Data]],"mm")</f>
        <v>11</v>
      </c>
    </row>
    <row r="260" spans="1:11">
      <c r="A260" s="3">
        <v>42704</v>
      </c>
      <c r="B260" s="2" t="s">
        <v>29</v>
      </c>
      <c r="C260" s="2" t="s">
        <v>68</v>
      </c>
      <c r="D260" s="2" t="s">
        <v>35</v>
      </c>
      <c r="E260" s="2" t="s">
        <v>13</v>
      </c>
      <c r="F260" s="2" t="s">
        <v>14</v>
      </c>
      <c r="G260" s="2" t="s">
        <v>40</v>
      </c>
      <c r="H260" s="2" t="s">
        <v>44</v>
      </c>
      <c r="I260" s="2" t="s">
        <v>36</v>
      </c>
      <c r="J260" s="2">
        <f>YEAR(Table1[[#This Row],[Data]])</f>
        <v>2016</v>
      </c>
      <c r="K260" s="2" t="str">
        <f>TEXT(Table1[[#This Row],[Data]],"mm")</f>
        <v>11</v>
      </c>
    </row>
    <row r="261" spans="1:11">
      <c r="A261" s="3">
        <v>42705</v>
      </c>
      <c r="B261" s="2" t="s">
        <v>29</v>
      </c>
      <c r="C261" s="2" t="s">
        <v>68</v>
      </c>
      <c r="D261" s="2" t="s">
        <v>35</v>
      </c>
      <c r="E261" s="2" t="s">
        <v>13</v>
      </c>
      <c r="F261" s="2" t="s">
        <v>16</v>
      </c>
      <c r="G261" s="2" t="s">
        <v>40</v>
      </c>
      <c r="H261" s="2" t="s">
        <v>43</v>
      </c>
      <c r="I261" s="2" t="s">
        <v>36</v>
      </c>
      <c r="J261" s="2">
        <f>YEAR(Table1[[#This Row],[Data]])</f>
        <v>2016</v>
      </c>
      <c r="K261" s="2" t="str">
        <f>TEXT(Table1[[#This Row],[Data]],"mm")</f>
        <v>12</v>
      </c>
    </row>
    <row r="262" spans="1:11">
      <c r="A262" s="3">
        <v>42705</v>
      </c>
      <c r="B262" s="2" t="s">
        <v>29</v>
      </c>
      <c r="C262" s="2" t="s">
        <v>68</v>
      </c>
      <c r="D262" s="2" t="s">
        <v>35</v>
      </c>
      <c r="E262" s="2" t="s">
        <v>13</v>
      </c>
      <c r="F262" s="2" t="s">
        <v>16</v>
      </c>
      <c r="G262" s="2" t="s">
        <v>40</v>
      </c>
      <c r="H262" s="2" t="s">
        <v>44</v>
      </c>
      <c r="I262" s="2" t="s">
        <v>36</v>
      </c>
      <c r="J262" s="2">
        <f>YEAR(Table1[[#This Row],[Data]])</f>
        <v>2016</v>
      </c>
      <c r="K262" s="2" t="str">
        <f>TEXT(Table1[[#This Row],[Data]],"mm")</f>
        <v>12</v>
      </c>
    </row>
    <row r="263" spans="1:11">
      <c r="A263" s="3">
        <v>42712</v>
      </c>
      <c r="B263" s="2" t="s">
        <v>29</v>
      </c>
      <c r="C263" s="2" t="s">
        <v>66</v>
      </c>
      <c r="D263" s="2" t="s">
        <v>35</v>
      </c>
      <c r="E263" s="2" t="s">
        <v>13</v>
      </c>
      <c r="F263" s="2" t="s">
        <v>16</v>
      </c>
      <c r="G263" s="2" t="s">
        <v>40</v>
      </c>
      <c r="H263" s="2" t="s">
        <v>43</v>
      </c>
      <c r="I263" s="2" t="s">
        <v>79</v>
      </c>
      <c r="J263" s="2">
        <f>YEAR(Table1[[#This Row],[Data]])</f>
        <v>2016</v>
      </c>
      <c r="K263" s="2" t="str">
        <f>TEXT(Table1[[#This Row],[Data]],"mm")</f>
        <v>12</v>
      </c>
    </row>
    <row r="264" spans="1:11">
      <c r="A264" s="3">
        <v>42712</v>
      </c>
      <c r="B264" s="2" t="s">
        <v>29</v>
      </c>
      <c r="C264" s="2" t="s">
        <v>66</v>
      </c>
      <c r="D264" s="2" t="s">
        <v>35</v>
      </c>
      <c r="E264" s="2" t="s">
        <v>13</v>
      </c>
      <c r="F264" s="2" t="s">
        <v>15</v>
      </c>
      <c r="G264" s="2" t="s">
        <v>40</v>
      </c>
      <c r="H264" s="2" t="s">
        <v>45</v>
      </c>
      <c r="I264" s="2" t="s">
        <v>36</v>
      </c>
      <c r="J264" s="2">
        <f>YEAR(Table1[[#This Row],[Data]])</f>
        <v>2016</v>
      </c>
      <c r="K264" s="2" t="str">
        <f>TEXT(Table1[[#This Row],[Data]],"mm")</f>
        <v>12</v>
      </c>
    </row>
    <row r="265" spans="1:11">
      <c r="A265" s="3">
        <v>42713</v>
      </c>
      <c r="B265" s="2" t="s">
        <v>30</v>
      </c>
      <c r="C265" s="2" t="s">
        <v>67</v>
      </c>
      <c r="D265" s="2" t="s">
        <v>35</v>
      </c>
      <c r="E265" s="2" t="s">
        <v>14</v>
      </c>
      <c r="F265" s="2" t="s">
        <v>15</v>
      </c>
      <c r="G265" s="2" t="s">
        <v>40</v>
      </c>
      <c r="H265" s="2" t="s">
        <v>45</v>
      </c>
      <c r="I265" s="2" t="s">
        <v>36</v>
      </c>
      <c r="J265" s="2">
        <f>YEAR(Table1[[#This Row],[Data]])</f>
        <v>2016</v>
      </c>
      <c r="K265" s="2" t="str">
        <f>TEXT(Table1[[#This Row],[Data]],"mm")</f>
        <v>12</v>
      </c>
    </row>
    <row r="266" spans="1:11">
      <c r="A266" s="3">
        <v>42714</v>
      </c>
      <c r="B266" s="2" t="s">
        <v>29</v>
      </c>
      <c r="C266" s="2" t="s">
        <v>69</v>
      </c>
      <c r="D266" s="2" t="s">
        <v>35</v>
      </c>
      <c r="E266" s="2" t="s">
        <v>13</v>
      </c>
      <c r="F266" s="2" t="s">
        <v>14</v>
      </c>
      <c r="G266" s="2" t="s">
        <v>40</v>
      </c>
      <c r="H266" s="2" t="s">
        <v>44</v>
      </c>
      <c r="I266" s="2" t="s">
        <v>36</v>
      </c>
      <c r="J266" s="2">
        <f>YEAR(Table1[[#This Row],[Data]])</f>
        <v>2016</v>
      </c>
      <c r="K266" s="2" t="str">
        <f>TEXT(Table1[[#This Row],[Data]],"mm")</f>
        <v>12</v>
      </c>
    </row>
    <row r="267" spans="1:11">
      <c r="A267" s="3">
        <v>42716</v>
      </c>
      <c r="B267" s="2" t="s">
        <v>30</v>
      </c>
      <c r="C267" s="2" t="s">
        <v>77</v>
      </c>
      <c r="D267" s="2" t="s">
        <v>34</v>
      </c>
      <c r="E267" s="2" t="s">
        <v>13</v>
      </c>
      <c r="F267" s="2" t="s">
        <v>14</v>
      </c>
      <c r="G267" s="2" t="s">
        <v>40</v>
      </c>
      <c r="H267" s="2" t="s">
        <v>43</v>
      </c>
      <c r="I267" s="2" t="s">
        <v>36</v>
      </c>
      <c r="J267" s="2">
        <f>YEAR(Table1[[#This Row],[Data]])</f>
        <v>2016</v>
      </c>
      <c r="K267" s="2" t="str">
        <f>TEXT(Table1[[#This Row],[Data]],"mm")</f>
        <v>12</v>
      </c>
    </row>
    <row r="268" spans="1:11">
      <c r="A268" s="3">
        <v>42717</v>
      </c>
      <c r="B268" s="2" t="s">
        <v>30</v>
      </c>
      <c r="C268" s="2" t="s">
        <v>67</v>
      </c>
      <c r="D268" s="2" t="s">
        <v>35</v>
      </c>
      <c r="E268" s="2" t="s">
        <v>13</v>
      </c>
      <c r="F268" s="2" t="s">
        <v>14</v>
      </c>
      <c r="G268" s="2" t="s">
        <v>40</v>
      </c>
      <c r="H268" s="2" t="s">
        <v>45</v>
      </c>
      <c r="I268" s="2" t="s">
        <v>36</v>
      </c>
      <c r="J268" s="2">
        <f>YEAR(Table1[[#This Row],[Data]])</f>
        <v>2016</v>
      </c>
      <c r="K268" s="2" t="str">
        <f>TEXT(Table1[[#This Row],[Data]],"mm")</f>
        <v>12</v>
      </c>
    </row>
    <row r="269" spans="1:11">
      <c r="A269" s="3">
        <v>42716</v>
      </c>
      <c r="B269" s="2" t="s">
        <v>29</v>
      </c>
      <c r="C269" s="2" t="s">
        <v>69</v>
      </c>
      <c r="D269" s="2" t="s">
        <v>35</v>
      </c>
      <c r="E269" s="2" t="s">
        <v>15</v>
      </c>
      <c r="F269" s="2" t="s">
        <v>15</v>
      </c>
      <c r="G269" s="2" t="s">
        <v>40</v>
      </c>
      <c r="H269" s="2" t="s">
        <v>43</v>
      </c>
      <c r="I269" s="2" t="s">
        <v>36</v>
      </c>
      <c r="J269" s="2">
        <f>YEAR(Table1[[#This Row],[Data]])</f>
        <v>2016</v>
      </c>
      <c r="K269" s="2" t="str">
        <f>TEXT(Table1[[#This Row],[Data]],"mm")</f>
        <v>12</v>
      </c>
    </row>
    <row r="270" spans="1:11">
      <c r="A270" s="3">
        <v>42716</v>
      </c>
      <c r="B270" s="2" t="s">
        <v>30</v>
      </c>
      <c r="C270" s="2" t="s">
        <v>70</v>
      </c>
      <c r="D270" s="2" t="s">
        <v>34</v>
      </c>
      <c r="E270" s="2" t="s">
        <v>13</v>
      </c>
      <c r="F270" s="2" t="s">
        <v>14</v>
      </c>
      <c r="G270" s="2" t="s">
        <v>40</v>
      </c>
      <c r="H270" s="2" t="s">
        <v>45</v>
      </c>
      <c r="I270" s="2" t="s">
        <v>36</v>
      </c>
      <c r="J270" s="2">
        <f>YEAR(Table1[[#This Row],[Data]])</f>
        <v>2016</v>
      </c>
      <c r="K270" s="2" t="str">
        <f>TEXT(Table1[[#This Row],[Data]],"mm")</f>
        <v>12</v>
      </c>
    </row>
    <row r="271" spans="1:11">
      <c r="A271" s="3">
        <v>42717</v>
      </c>
      <c r="B271" s="2" t="s">
        <v>29</v>
      </c>
      <c r="C271" s="2" t="s">
        <v>71</v>
      </c>
      <c r="D271" s="2" t="s">
        <v>34</v>
      </c>
      <c r="E271" s="2" t="s">
        <v>13</v>
      </c>
      <c r="F271" s="2" t="s">
        <v>14</v>
      </c>
      <c r="G271" s="2" t="s">
        <v>40</v>
      </c>
      <c r="H271" s="2" t="s">
        <v>44</v>
      </c>
      <c r="I271" s="2" t="s">
        <v>36</v>
      </c>
      <c r="J271" s="2">
        <f>YEAR(Table1[[#This Row],[Data]])</f>
        <v>2016</v>
      </c>
      <c r="K271" s="2" t="str">
        <f>TEXT(Table1[[#This Row],[Data]],"mm")</f>
        <v>12</v>
      </c>
    </row>
    <row r="272" spans="1:11">
      <c r="A272" s="3">
        <v>42719</v>
      </c>
      <c r="B272" s="2" t="s">
        <v>30</v>
      </c>
      <c r="C272" s="2" t="s">
        <v>70</v>
      </c>
      <c r="D272" s="2" t="s">
        <v>34</v>
      </c>
      <c r="E272" s="2" t="s">
        <v>13</v>
      </c>
      <c r="F272" s="2" t="s">
        <v>15</v>
      </c>
      <c r="G272" s="2" t="s">
        <v>40</v>
      </c>
      <c r="H272" s="2" t="s">
        <v>43</v>
      </c>
      <c r="I272" s="2" t="s">
        <v>36</v>
      </c>
      <c r="J272" s="2">
        <f>YEAR(Table1[[#This Row],[Data]])</f>
        <v>2016</v>
      </c>
      <c r="K272" s="2" t="str">
        <f>TEXT(Table1[[#This Row],[Data]],"mm")</f>
        <v>12</v>
      </c>
    </row>
    <row r="273" spans="1:11">
      <c r="A273" s="3">
        <v>42719</v>
      </c>
      <c r="B273" s="2" t="s">
        <v>29</v>
      </c>
      <c r="C273" s="2" t="s">
        <v>68</v>
      </c>
      <c r="D273" s="2" t="s">
        <v>35</v>
      </c>
      <c r="E273" s="2" t="s">
        <v>15</v>
      </c>
      <c r="F273" s="2" t="s">
        <v>16</v>
      </c>
      <c r="G273" s="2" t="s">
        <v>40</v>
      </c>
      <c r="H273" s="2" t="s">
        <v>44</v>
      </c>
      <c r="I273" s="2" t="s">
        <v>36</v>
      </c>
      <c r="J273" s="2">
        <f>YEAR(Table1[[#This Row],[Data]])</f>
        <v>2016</v>
      </c>
      <c r="K273" s="2" t="str">
        <f>TEXT(Table1[[#This Row],[Data]],"mm")</f>
        <v>12</v>
      </c>
    </row>
    <row r="274" spans="1:11">
      <c r="A274" s="3">
        <v>42720</v>
      </c>
      <c r="B274" s="2" t="s">
        <v>30</v>
      </c>
      <c r="C274" s="2" t="s">
        <v>77</v>
      </c>
      <c r="D274" s="2" t="s">
        <v>34</v>
      </c>
      <c r="E274" s="2" t="s">
        <v>13</v>
      </c>
      <c r="F274" s="2" t="s">
        <v>14</v>
      </c>
      <c r="G274" s="2" t="s">
        <v>39</v>
      </c>
      <c r="H274" s="2" t="s">
        <v>44</v>
      </c>
      <c r="I274" s="2" t="s">
        <v>36</v>
      </c>
      <c r="J274" s="2">
        <f>YEAR(Table1[[#This Row],[Data]])</f>
        <v>2016</v>
      </c>
      <c r="K274" s="2" t="str">
        <f>TEXT(Table1[[#This Row],[Data]],"mm")</f>
        <v>12</v>
      </c>
    </row>
    <row r="275" spans="1:11">
      <c r="A275" s="3">
        <v>42723</v>
      </c>
      <c r="B275" s="2" t="s">
        <v>29</v>
      </c>
      <c r="C275" s="2" t="s">
        <v>69</v>
      </c>
      <c r="D275" s="2" t="s">
        <v>35</v>
      </c>
      <c r="E275" s="2" t="s">
        <v>13</v>
      </c>
      <c r="F275" s="2" t="s">
        <v>15</v>
      </c>
      <c r="G275" s="2" t="s">
        <v>40</v>
      </c>
      <c r="H275" s="2" t="s">
        <v>43</v>
      </c>
      <c r="I275" s="2" t="s">
        <v>36</v>
      </c>
      <c r="J275" s="2">
        <f>YEAR(Table1[[#This Row],[Data]])</f>
        <v>2016</v>
      </c>
      <c r="K275" s="2" t="str">
        <f>TEXT(Table1[[#This Row],[Data]],"mm")</f>
        <v>12</v>
      </c>
    </row>
    <row r="276" spans="1:11">
      <c r="A276" s="3">
        <v>42727</v>
      </c>
      <c r="B276" s="2" t="s">
        <v>29</v>
      </c>
      <c r="C276" s="2" t="s">
        <v>69</v>
      </c>
      <c r="D276" s="2" t="s">
        <v>35</v>
      </c>
      <c r="E276" s="2" t="s">
        <v>14</v>
      </c>
      <c r="F276" s="2" t="s">
        <v>16</v>
      </c>
      <c r="G276" s="2" t="s">
        <v>40</v>
      </c>
      <c r="H276" s="2" t="s">
        <v>44</v>
      </c>
      <c r="I276" s="2" t="s">
        <v>36</v>
      </c>
      <c r="J276" s="2">
        <f>YEAR(Table1[[#This Row],[Data]])</f>
        <v>2016</v>
      </c>
      <c r="K276" s="2" t="str">
        <f>TEXT(Table1[[#This Row],[Data]],"mm")</f>
        <v>12</v>
      </c>
    </row>
    <row r="277" spans="1:11">
      <c r="A277" s="3">
        <v>42726</v>
      </c>
      <c r="B277" s="2" t="s">
        <v>30</v>
      </c>
      <c r="C277" s="2" t="s">
        <v>70</v>
      </c>
      <c r="D277" s="2" t="s">
        <v>34</v>
      </c>
      <c r="E277" s="2" t="s">
        <v>13</v>
      </c>
      <c r="F277" s="2" t="s">
        <v>14</v>
      </c>
      <c r="G277" s="2" t="s">
        <v>40</v>
      </c>
      <c r="H277" s="2" t="s">
        <v>44</v>
      </c>
      <c r="I277" s="2" t="s">
        <v>36</v>
      </c>
      <c r="J277" s="2">
        <f>YEAR(Table1[[#This Row],[Data]])</f>
        <v>2016</v>
      </c>
      <c r="K277" s="2" t="str">
        <f>TEXT(Table1[[#This Row],[Data]],"mm")</f>
        <v>12</v>
      </c>
    </row>
    <row r="278" spans="1:11">
      <c r="A278" s="3">
        <v>42726</v>
      </c>
      <c r="B278" s="2" t="s">
        <v>29</v>
      </c>
      <c r="C278" s="2" t="s">
        <v>66</v>
      </c>
      <c r="D278" s="2" t="s">
        <v>35</v>
      </c>
      <c r="E278" s="2" t="s">
        <v>13</v>
      </c>
      <c r="F278" s="2" t="s">
        <v>16</v>
      </c>
      <c r="G278" s="2" t="s">
        <v>40</v>
      </c>
      <c r="H278" s="2" t="s">
        <v>44</v>
      </c>
      <c r="I278" s="2" t="s">
        <v>36</v>
      </c>
      <c r="J278" s="2">
        <f>YEAR(Table1[[#This Row],[Data]])</f>
        <v>2016</v>
      </c>
      <c r="K278" s="2" t="str">
        <f>TEXT(Table1[[#This Row],[Data]],"mm")</f>
        <v>12</v>
      </c>
    </row>
    <row r="279" spans="1:11">
      <c r="A279" s="3">
        <v>42727</v>
      </c>
      <c r="B279" s="2" t="s">
        <v>29</v>
      </c>
      <c r="C279" s="2" t="s">
        <v>68</v>
      </c>
      <c r="D279" s="2" t="s">
        <v>35</v>
      </c>
      <c r="E279" s="2" t="s">
        <v>13</v>
      </c>
      <c r="F279" s="2" t="s">
        <v>15</v>
      </c>
      <c r="G279" s="2" t="s">
        <v>40</v>
      </c>
      <c r="H279" s="2" t="s">
        <v>44</v>
      </c>
      <c r="I279" s="2" t="s">
        <v>36</v>
      </c>
      <c r="J279" s="2">
        <f>YEAR(Table1[[#This Row],[Data]])</f>
        <v>2016</v>
      </c>
      <c r="K279" s="2" t="str">
        <f>TEXT(Table1[[#This Row],[Data]],"mm")</f>
        <v>12</v>
      </c>
    </row>
    <row r="280" spans="1:11">
      <c r="A280" s="3">
        <v>42730</v>
      </c>
      <c r="B280" s="2" t="s">
        <v>29</v>
      </c>
      <c r="C280" s="2" t="s">
        <v>71</v>
      </c>
      <c r="D280" s="2" t="s">
        <v>34</v>
      </c>
      <c r="E280" s="2" t="s">
        <v>13</v>
      </c>
      <c r="F280" s="2" t="s">
        <v>14</v>
      </c>
      <c r="G280" s="2" t="s">
        <v>40</v>
      </c>
      <c r="H280" s="2" t="s">
        <v>43</v>
      </c>
      <c r="I280" s="2" t="s">
        <v>36</v>
      </c>
      <c r="J280" s="2">
        <f>YEAR(Table1[[#This Row],[Data]])</f>
        <v>2016</v>
      </c>
      <c r="K280" s="2" t="str">
        <f>TEXT(Table1[[#This Row],[Data]],"mm")</f>
        <v>12</v>
      </c>
    </row>
    <row r="281" spans="1:11">
      <c r="A281" s="3">
        <v>42732</v>
      </c>
      <c r="B281" s="2" t="s">
        <v>30</v>
      </c>
      <c r="C281" s="2" t="s">
        <v>70</v>
      </c>
      <c r="D281" s="2" t="s">
        <v>34</v>
      </c>
      <c r="E281" s="2" t="s">
        <v>13</v>
      </c>
      <c r="F281" s="2" t="s">
        <v>16</v>
      </c>
      <c r="G281" s="2" t="s">
        <v>40</v>
      </c>
      <c r="H281" s="2" t="s">
        <v>43</v>
      </c>
      <c r="I281" s="2" t="s">
        <v>36</v>
      </c>
      <c r="J281" s="2">
        <f>YEAR(Table1[[#This Row],[Data]])</f>
        <v>2016</v>
      </c>
      <c r="K281" s="2" t="str">
        <f>TEXT(Table1[[#This Row],[Data]],"mm")</f>
        <v>12</v>
      </c>
    </row>
    <row r="282" spans="1:11">
      <c r="A282" s="3">
        <v>42734</v>
      </c>
      <c r="B282" s="2" t="s">
        <v>29</v>
      </c>
      <c r="C282" s="2" t="s">
        <v>69</v>
      </c>
      <c r="D282" s="2" t="s">
        <v>35</v>
      </c>
      <c r="E282" s="2" t="s">
        <v>16</v>
      </c>
      <c r="F282" s="2" t="s">
        <v>17</v>
      </c>
      <c r="G282" s="2" t="s">
        <v>40</v>
      </c>
      <c r="H282" s="2" t="s">
        <v>44</v>
      </c>
      <c r="I282" s="2" t="s">
        <v>36</v>
      </c>
      <c r="J282" s="2">
        <f>YEAR(Table1[[#This Row],[Data]])</f>
        <v>2016</v>
      </c>
      <c r="K282" s="2" t="str">
        <f>TEXT(Table1[[#This Row],[Data]],"mm")</f>
        <v>12</v>
      </c>
    </row>
    <row r="283" spans="1:11">
      <c r="A283" s="3">
        <v>42735</v>
      </c>
      <c r="B283" s="2" t="s">
        <v>29</v>
      </c>
      <c r="C283" s="2" t="s">
        <v>69</v>
      </c>
      <c r="D283" s="2" t="s">
        <v>35</v>
      </c>
      <c r="E283" s="2" t="s">
        <v>15</v>
      </c>
      <c r="F283" s="2" t="s">
        <v>16</v>
      </c>
      <c r="G283" s="2" t="s">
        <v>40</v>
      </c>
      <c r="H283" s="2" t="s">
        <v>44</v>
      </c>
      <c r="I283" s="2" t="s">
        <v>36</v>
      </c>
      <c r="J283" s="2">
        <f>YEAR(Table1[[#This Row],[Data]])</f>
        <v>2016</v>
      </c>
      <c r="K283" s="2" t="str">
        <f>TEXT(Table1[[#This Row],[Data]],"mm")</f>
        <v>12</v>
      </c>
    </row>
    <row r="284" spans="1:11">
      <c r="A284" s="3">
        <v>42737</v>
      </c>
      <c r="B284" s="2" t="s">
        <v>29</v>
      </c>
      <c r="C284" s="2" t="s">
        <v>71</v>
      </c>
      <c r="D284" s="2" t="s">
        <v>34</v>
      </c>
      <c r="E284" s="2" t="s">
        <v>13</v>
      </c>
      <c r="F284" s="2" t="s">
        <v>14</v>
      </c>
      <c r="G284" s="2" t="s">
        <v>40</v>
      </c>
      <c r="H284" s="2" t="s">
        <v>45</v>
      </c>
      <c r="I284" s="2" t="s">
        <v>51</v>
      </c>
      <c r="J284" s="2">
        <f>YEAR(Table1[[#This Row],[Data]])</f>
        <v>2017</v>
      </c>
      <c r="K284" s="2" t="str">
        <f>TEXT(Table1[[#This Row],[Data]],"mm")</f>
        <v>01</v>
      </c>
    </row>
    <row r="285" spans="1:11">
      <c r="A285" s="3">
        <v>42740</v>
      </c>
      <c r="B285" s="2" t="s">
        <v>29</v>
      </c>
      <c r="C285" s="2" t="s">
        <v>66</v>
      </c>
      <c r="D285" s="2" t="s">
        <v>35</v>
      </c>
      <c r="E285" s="2" t="s">
        <v>13</v>
      </c>
      <c r="F285" s="2" t="s">
        <v>16</v>
      </c>
      <c r="G285" s="2" t="s">
        <v>40</v>
      </c>
      <c r="H285" s="2" t="s">
        <v>44</v>
      </c>
      <c r="I285" s="2" t="s">
        <v>57</v>
      </c>
      <c r="J285" s="2">
        <f>YEAR(Table1[[#This Row],[Data]])</f>
        <v>2017</v>
      </c>
      <c r="K285" s="2" t="str">
        <f>TEXT(Table1[[#This Row],[Data]],"mm")</f>
        <v>01</v>
      </c>
    </row>
    <row r="286" spans="1:11">
      <c r="A286" s="3">
        <v>42740</v>
      </c>
      <c r="B286" s="2" t="s">
        <v>29</v>
      </c>
      <c r="C286" s="2" t="s">
        <v>68</v>
      </c>
      <c r="D286" s="2" t="s">
        <v>35</v>
      </c>
      <c r="E286" s="2" t="s">
        <v>13</v>
      </c>
      <c r="F286" s="2" t="s">
        <v>15</v>
      </c>
      <c r="G286" s="2" t="s">
        <v>40</v>
      </c>
      <c r="H286" s="2" t="s">
        <v>43</v>
      </c>
      <c r="I286" s="2" t="s">
        <v>36</v>
      </c>
      <c r="J286" s="2">
        <f>YEAR(Table1[[#This Row],[Data]])</f>
        <v>2017</v>
      </c>
      <c r="K286" s="2" t="str">
        <f>TEXT(Table1[[#This Row],[Data]],"mm")</f>
        <v>01</v>
      </c>
    </row>
    <row r="287" spans="1:11">
      <c r="A287" s="3">
        <v>42741</v>
      </c>
      <c r="B287" s="2" t="s">
        <v>30</v>
      </c>
      <c r="C287" s="2" t="s">
        <v>77</v>
      </c>
      <c r="D287" s="2" t="s">
        <v>34</v>
      </c>
      <c r="E287" s="2" t="s">
        <v>13</v>
      </c>
      <c r="F287" s="2" t="s">
        <v>13</v>
      </c>
      <c r="G287" s="2" t="s">
        <v>40</v>
      </c>
      <c r="H287" s="2" t="s">
        <v>43</v>
      </c>
      <c r="I287" s="2" t="s">
        <v>51</v>
      </c>
      <c r="J287" s="2">
        <f>YEAR(Table1[[#This Row],[Data]])</f>
        <v>2017</v>
      </c>
      <c r="K287" s="2" t="str">
        <f>TEXT(Table1[[#This Row],[Data]],"mm")</f>
        <v>01</v>
      </c>
    </row>
    <row r="288" spans="1:11">
      <c r="A288" s="3">
        <v>42742</v>
      </c>
      <c r="B288" s="2" t="s">
        <v>29</v>
      </c>
      <c r="C288" s="2" t="s">
        <v>69</v>
      </c>
      <c r="D288" s="2" t="s">
        <v>35</v>
      </c>
      <c r="E288" s="2" t="s">
        <v>13</v>
      </c>
      <c r="F288" s="2" t="s">
        <v>16</v>
      </c>
      <c r="G288" s="2" t="s">
        <v>40</v>
      </c>
      <c r="H288" s="2" t="s">
        <v>43</v>
      </c>
      <c r="I288" s="2" t="s">
        <v>36</v>
      </c>
      <c r="J288" s="2">
        <f>YEAR(Table1[[#This Row],[Data]])</f>
        <v>2017</v>
      </c>
      <c r="K288" s="2" t="str">
        <f>TEXT(Table1[[#This Row],[Data]],"mm")</f>
        <v>01</v>
      </c>
    </row>
    <row r="289" spans="1:11">
      <c r="A289" s="3">
        <v>42743</v>
      </c>
      <c r="B289" s="2" t="s">
        <v>29</v>
      </c>
      <c r="C289" s="2" t="s">
        <v>71</v>
      </c>
      <c r="D289" s="2" t="s">
        <v>34</v>
      </c>
      <c r="E289" s="2" t="s">
        <v>15</v>
      </c>
      <c r="F289" s="2" t="s">
        <v>15</v>
      </c>
      <c r="G289" s="2" t="s">
        <v>40</v>
      </c>
      <c r="H289" s="2" t="s">
        <v>43</v>
      </c>
      <c r="I289" s="2" t="s">
        <v>55</v>
      </c>
      <c r="J289" s="2">
        <f>YEAR(Table1[[#This Row],[Data]])</f>
        <v>2017</v>
      </c>
      <c r="K289" s="2" t="str">
        <f>TEXT(Table1[[#This Row],[Data]],"mm")</f>
        <v>01</v>
      </c>
    </row>
    <row r="290" spans="1:11">
      <c r="A290" s="3">
        <v>42743</v>
      </c>
      <c r="B290" s="2" t="s">
        <v>30</v>
      </c>
      <c r="C290" s="2" t="s">
        <v>70</v>
      </c>
      <c r="D290" s="2" t="s">
        <v>34</v>
      </c>
      <c r="E290" s="2" t="s">
        <v>14</v>
      </c>
      <c r="F290" s="2" t="s">
        <v>16</v>
      </c>
      <c r="G290" s="2" t="s">
        <v>40</v>
      </c>
      <c r="H290" s="2" t="s">
        <v>43</v>
      </c>
      <c r="I290" s="2" t="s">
        <v>90</v>
      </c>
      <c r="J290" s="2">
        <f>YEAR(Table1[[#This Row],[Data]])</f>
        <v>2017</v>
      </c>
      <c r="K290" s="2" t="str">
        <f>TEXT(Table1[[#This Row],[Data]],"mm")</f>
        <v>01</v>
      </c>
    </row>
    <row r="291" spans="1:11">
      <c r="A291" s="3">
        <v>42744</v>
      </c>
      <c r="B291" s="2" t="s">
        <v>29</v>
      </c>
      <c r="C291" s="2" t="s">
        <v>66</v>
      </c>
      <c r="D291" s="2" t="s">
        <v>35</v>
      </c>
      <c r="E291" s="2" t="s">
        <v>13</v>
      </c>
      <c r="F291" s="2" t="s">
        <v>15</v>
      </c>
      <c r="G291" s="2" t="s">
        <v>40</v>
      </c>
      <c r="H291" s="2" t="s">
        <v>44</v>
      </c>
      <c r="I291" s="2" t="s">
        <v>36</v>
      </c>
      <c r="J291" s="2">
        <f>YEAR(Table1[[#This Row],[Data]])</f>
        <v>2017</v>
      </c>
      <c r="K291" s="2" t="str">
        <f>TEXT(Table1[[#This Row],[Data]],"mm")</f>
        <v>01</v>
      </c>
    </row>
    <row r="292" spans="1:11">
      <c r="A292" s="3">
        <v>42744</v>
      </c>
      <c r="B292" s="2" t="s">
        <v>29</v>
      </c>
      <c r="C292" s="2" t="s">
        <v>68</v>
      </c>
      <c r="D292" s="2" t="s">
        <v>35</v>
      </c>
      <c r="E292" s="2" t="s">
        <v>13</v>
      </c>
      <c r="F292" s="2" t="s">
        <v>15</v>
      </c>
      <c r="G292" s="2" t="s">
        <v>40</v>
      </c>
      <c r="H292" s="2" t="s">
        <v>43</v>
      </c>
      <c r="I292" s="2" t="s">
        <v>36</v>
      </c>
      <c r="J292" s="2">
        <f>YEAR(Table1[[#This Row],[Data]])</f>
        <v>2017</v>
      </c>
      <c r="K292" s="2" t="str">
        <f>TEXT(Table1[[#This Row],[Data]],"mm")</f>
        <v>01</v>
      </c>
    </row>
    <row r="293" spans="1:11">
      <c r="A293" s="3">
        <v>42745</v>
      </c>
      <c r="B293" s="2" t="s">
        <v>31</v>
      </c>
      <c r="C293" s="2" t="s">
        <v>80</v>
      </c>
      <c r="D293" s="2" t="s">
        <v>36</v>
      </c>
      <c r="E293" s="2" t="s">
        <v>13</v>
      </c>
      <c r="F293" s="2" t="s">
        <v>16</v>
      </c>
      <c r="G293" s="2" t="s">
        <v>40</v>
      </c>
      <c r="H293" s="2" t="s">
        <v>44</v>
      </c>
      <c r="I293" s="2" t="s">
        <v>84</v>
      </c>
      <c r="J293" s="2">
        <f>YEAR(Table1[[#This Row],[Data]])</f>
        <v>2017</v>
      </c>
      <c r="K293" s="2" t="str">
        <f>TEXT(Table1[[#This Row],[Data]],"mm")</f>
        <v>01</v>
      </c>
    </row>
    <row r="294" spans="1:11">
      <c r="A294" s="3">
        <v>42747</v>
      </c>
      <c r="B294" s="2" t="s">
        <v>30</v>
      </c>
      <c r="C294" s="2" t="s">
        <v>77</v>
      </c>
      <c r="D294" s="2" t="s">
        <v>34</v>
      </c>
      <c r="E294" s="2" t="s">
        <v>13</v>
      </c>
      <c r="F294" s="2" t="s">
        <v>14</v>
      </c>
      <c r="G294" s="2" t="s">
        <v>40</v>
      </c>
      <c r="H294" s="2" t="s">
        <v>45</v>
      </c>
      <c r="I294" s="2" t="s">
        <v>52</v>
      </c>
      <c r="J294" s="2">
        <f>YEAR(Table1[[#This Row],[Data]])</f>
        <v>2017</v>
      </c>
      <c r="K294" s="2" t="str">
        <f>TEXT(Table1[[#This Row],[Data]],"mm")</f>
        <v>01</v>
      </c>
    </row>
    <row r="295" spans="1:11">
      <c r="A295" s="3">
        <v>42749</v>
      </c>
      <c r="B295" s="2" t="s">
        <v>29</v>
      </c>
      <c r="C295" s="2" t="s">
        <v>68</v>
      </c>
      <c r="D295" s="2" t="s">
        <v>35</v>
      </c>
      <c r="E295" s="2" t="s">
        <v>13</v>
      </c>
      <c r="F295" s="2" t="s">
        <v>16</v>
      </c>
      <c r="G295" s="2" t="s">
        <v>40</v>
      </c>
      <c r="H295" s="2" t="s">
        <v>44</v>
      </c>
      <c r="I295" s="2" t="s">
        <v>57</v>
      </c>
      <c r="J295" s="2">
        <f>YEAR(Table1[[#This Row],[Data]])</f>
        <v>2017</v>
      </c>
      <c r="K295" s="2" t="str">
        <f>TEXT(Table1[[#This Row],[Data]],"mm")</f>
        <v>01</v>
      </c>
    </row>
    <row r="296" spans="1:11">
      <c r="A296" s="3">
        <v>42752</v>
      </c>
      <c r="B296" s="2" t="s">
        <v>29</v>
      </c>
      <c r="C296" s="2" t="s">
        <v>68</v>
      </c>
      <c r="D296" s="2" t="s">
        <v>35</v>
      </c>
      <c r="E296" s="2" t="s">
        <v>13</v>
      </c>
      <c r="F296" s="2" t="s">
        <v>15</v>
      </c>
      <c r="G296" s="2" t="s">
        <v>40</v>
      </c>
      <c r="H296" s="2" t="s">
        <v>43</v>
      </c>
      <c r="I296" s="2" t="s">
        <v>60</v>
      </c>
      <c r="J296" s="2">
        <f>YEAR(Table1[[#This Row],[Data]])</f>
        <v>2017</v>
      </c>
      <c r="K296" s="2" t="str">
        <f>TEXT(Table1[[#This Row],[Data]],"mm")</f>
        <v>01</v>
      </c>
    </row>
    <row r="297" spans="1:11">
      <c r="A297" s="3">
        <v>42752</v>
      </c>
      <c r="B297" s="2" t="s">
        <v>30</v>
      </c>
      <c r="C297" s="2" t="s">
        <v>77</v>
      </c>
      <c r="D297" s="2" t="s">
        <v>34</v>
      </c>
      <c r="E297" s="2" t="s">
        <v>13</v>
      </c>
      <c r="F297" s="2" t="s">
        <v>16</v>
      </c>
      <c r="G297" s="2" t="s">
        <v>40</v>
      </c>
      <c r="H297" s="2" t="s">
        <v>43</v>
      </c>
      <c r="I297" s="2" t="s">
        <v>72</v>
      </c>
      <c r="J297" s="2">
        <f>YEAR(Table1[[#This Row],[Data]])</f>
        <v>2017</v>
      </c>
      <c r="K297" s="2" t="str">
        <f>TEXT(Table1[[#This Row],[Data]],"mm")</f>
        <v>01</v>
      </c>
    </row>
    <row r="298" spans="1:11">
      <c r="A298" s="3">
        <v>42752</v>
      </c>
      <c r="B298" s="2" t="s">
        <v>30</v>
      </c>
      <c r="C298" s="2" t="s">
        <v>77</v>
      </c>
      <c r="D298" s="2" t="s">
        <v>34</v>
      </c>
      <c r="E298" s="2" t="s">
        <v>15</v>
      </c>
      <c r="F298" s="2" t="s">
        <v>16</v>
      </c>
      <c r="G298" s="2" t="s">
        <v>40</v>
      </c>
      <c r="H298" s="2" t="s">
        <v>43</v>
      </c>
      <c r="I298" s="2" t="s">
        <v>36</v>
      </c>
      <c r="J298" s="2">
        <f>YEAR(Table1[[#This Row],[Data]])</f>
        <v>2017</v>
      </c>
      <c r="K298" s="2" t="str">
        <f>TEXT(Table1[[#This Row],[Data]],"mm")</f>
        <v>01</v>
      </c>
    </row>
    <row r="299" spans="1:11">
      <c r="A299" s="3">
        <v>42755</v>
      </c>
      <c r="B299" s="2" t="s">
        <v>29</v>
      </c>
      <c r="C299" s="2" t="s">
        <v>71</v>
      </c>
      <c r="D299" s="2" t="s">
        <v>34</v>
      </c>
      <c r="E299" s="2" t="s">
        <v>16</v>
      </c>
      <c r="F299" s="2" t="s">
        <v>16</v>
      </c>
      <c r="G299" s="2" t="s">
        <v>40</v>
      </c>
      <c r="H299" s="2" t="s">
        <v>45</v>
      </c>
      <c r="I299" s="2" t="s">
        <v>84</v>
      </c>
      <c r="J299" s="2">
        <f>YEAR(Table1[[#This Row],[Data]])</f>
        <v>2017</v>
      </c>
      <c r="K299" s="2" t="str">
        <f>TEXT(Table1[[#This Row],[Data]],"mm")</f>
        <v>01</v>
      </c>
    </row>
    <row r="300" spans="1:11">
      <c r="A300" s="3">
        <v>42755</v>
      </c>
      <c r="B300" s="2" t="s">
        <v>29</v>
      </c>
      <c r="C300" s="2" t="s">
        <v>69</v>
      </c>
      <c r="D300" s="2" t="s">
        <v>35</v>
      </c>
      <c r="E300" s="2" t="s">
        <v>13</v>
      </c>
      <c r="F300" s="2" t="s">
        <v>15</v>
      </c>
      <c r="G300" s="2" t="s">
        <v>40</v>
      </c>
      <c r="H300" s="2" t="s">
        <v>44</v>
      </c>
      <c r="I300" s="2" t="s">
        <v>52</v>
      </c>
      <c r="J300" s="2">
        <f>YEAR(Table1[[#This Row],[Data]])</f>
        <v>2017</v>
      </c>
      <c r="K300" s="2" t="str">
        <f>TEXT(Table1[[#This Row],[Data]],"mm")</f>
        <v>01</v>
      </c>
    </row>
    <row r="301" spans="1:11">
      <c r="A301" s="3">
        <v>42756</v>
      </c>
      <c r="B301" s="2" t="s">
        <v>30</v>
      </c>
      <c r="C301" s="2" t="s">
        <v>67</v>
      </c>
      <c r="D301" s="2" t="s">
        <v>35</v>
      </c>
      <c r="E301" s="2" t="s">
        <v>13</v>
      </c>
      <c r="F301" s="2" t="s">
        <v>13</v>
      </c>
      <c r="G301" s="2" t="s">
        <v>40</v>
      </c>
      <c r="H301" s="2" t="s">
        <v>45</v>
      </c>
      <c r="I301" s="2" t="s">
        <v>36</v>
      </c>
      <c r="J301" s="2">
        <f>YEAR(Table1[[#This Row],[Data]])</f>
        <v>2017</v>
      </c>
      <c r="K301" s="2" t="str">
        <f>TEXT(Table1[[#This Row],[Data]],"mm")</f>
        <v>01</v>
      </c>
    </row>
    <row r="302" spans="1:11">
      <c r="A302" s="3">
        <v>42758</v>
      </c>
      <c r="B302" s="2" t="s">
        <v>29</v>
      </c>
      <c r="C302" s="2" t="s">
        <v>69</v>
      </c>
      <c r="D302" s="2" t="s">
        <v>35</v>
      </c>
      <c r="E302" s="2" t="s">
        <v>13</v>
      </c>
      <c r="F302" s="2" t="s">
        <v>16</v>
      </c>
      <c r="G302" s="2" t="s">
        <v>40</v>
      </c>
      <c r="H302" s="2" t="s">
        <v>44</v>
      </c>
      <c r="I302" s="2" t="s">
        <v>60</v>
      </c>
      <c r="J302" s="2">
        <f>YEAR(Table1[[#This Row],[Data]])</f>
        <v>2017</v>
      </c>
      <c r="K302" s="2" t="str">
        <f>TEXT(Table1[[#This Row],[Data]],"mm")</f>
        <v>01</v>
      </c>
    </row>
    <row r="303" spans="1:11">
      <c r="A303" s="3">
        <v>42759</v>
      </c>
      <c r="B303" s="2" t="s">
        <v>30</v>
      </c>
      <c r="C303" s="2" t="s">
        <v>70</v>
      </c>
      <c r="D303" s="2" t="s">
        <v>34</v>
      </c>
      <c r="E303" s="2" t="s">
        <v>13</v>
      </c>
      <c r="F303" s="2" t="s">
        <v>15</v>
      </c>
      <c r="G303" s="2" t="s">
        <v>40</v>
      </c>
      <c r="H303" s="2" t="s">
        <v>45</v>
      </c>
      <c r="I303" s="2" t="s">
        <v>58</v>
      </c>
      <c r="J303" s="2">
        <f>YEAR(Table1[[#This Row],[Data]])</f>
        <v>2017</v>
      </c>
      <c r="K303" s="2" t="str">
        <f>TEXT(Table1[[#This Row],[Data]],"mm")</f>
        <v>01</v>
      </c>
    </row>
    <row r="304" spans="1:11">
      <c r="A304" s="3">
        <v>42759</v>
      </c>
      <c r="B304" s="2" t="s">
        <v>31</v>
      </c>
      <c r="C304" s="2" t="s">
        <v>80</v>
      </c>
      <c r="D304" s="2" t="s">
        <v>36</v>
      </c>
      <c r="E304" s="2" t="s">
        <v>13</v>
      </c>
      <c r="F304" s="2" t="s">
        <v>13</v>
      </c>
      <c r="G304" s="2" t="s">
        <v>40</v>
      </c>
      <c r="H304" s="2" t="s">
        <v>44</v>
      </c>
      <c r="I304" s="2" t="s">
        <v>56</v>
      </c>
      <c r="J304" s="2">
        <f>YEAR(Table1[[#This Row],[Data]])</f>
        <v>2017</v>
      </c>
      <c r="K304" s="2" t="str">
        <f>TEXT(Table1[[#This Row],[Data]],"mm")</f>
        <v>01</v>
      </c>
    </row>
    <row r="305" spans="1:11">
      <c r="A305" s="3">
        <v>42760</v>
      </c>
      <c r="B305" s="2" t="s">
        <v>29</v>
      </c>
      <c r="C305" s="2" t="s">
        <v>68</v>
      </c>
      <c r="D305" s="2" t="s">
        <v>35</v>
      </c>
      <c r="E305" s="2" t="s">
        <v>17</v>
      </c>
      <c r="F305" s="2" t="s">
        <v>18</v>
      </c>
      <c r="G305" s="2" t="s">
        <v>40</v>
      </c>
      <c r="H305" s="2" t="s">
        <v>44</v>
      </c>
      <c r="I305" s="2" t="s">
        <v>60</v>
      </c>
      <c r="J305" s="2">
        <f>YEAR(Table1[[#This Row],[Data]])</f>
        <v>2017</v>
      </c>
      <c r="K305" s="2" t="str">
        <f>TEXT(Table1[[#This Row],[Data]],"mm")</f>
        <v>01</v>
      </c>
    </row>
    <row r="306" spans="1:11">
      <c r="A306" s="3">
        <v>42762</v>
      </c>
      <c r="B306" s="2" t="s">
        <v>29</v>
      </c>
      <c r="C306" s="2" t="s">
        <v>69</v>
      </c>
      <c r="D306" s="2" t="s">
        <v>35</v>
      </c>
      <c r="E306" s="2" t="s">
        <v>14</v>
      </c>
      <c r="F306" s="2" t="s">
        <v>15</v>
      </c>
      <c r="G306" s="2" t="s">
        <v>40</v>
      </c>
      <c r="H306" s="2" t="s">
        <v>44</v>
      </c>
      <c r="I306" s="2" t="s">
        <v>36</v>
      </c>
      <c r="J306" s="2">
        <f>YEAR(Table1[[#This Row],[Data]])</f>
        <v>2017</v>
      </c>
      <c r="K306" s="2" t="str">
        <f>TEXT(Table1[[#This Row],[Data]],"mm")</f>
        <v>01</v>
      </c>
    </row>
    <row r="307" spans="1:11">
      <c r="A307" s="3">
        <v>42764</v>
      </c>
      <c r="B307" s="2" t="s">
        <v>29</v>
      </c>
      <c r="C307" s="2" t="s">
        <v>66</v>
      </c>
      <c r="D307" s="2" t="s">
        <v>35</v>
      </c>
      <c r="E307" s="2" t="s">
        <v>13</v>
      </c>
      <c r="F307" s="2" t="s">
        <v>15</v>
      </c>
      <c r="G307" s="2" t="s">
        <v>40</v>
      </c>
      <c r="H307" s="2" t="s">
        <v>44</v>
      </c>
      <c r="I307" s="2" t="s">
        <v>59</v>
      </c>
      <c r="J307" s="2">
        <f>YEAR(Table1[[#This Row],[Data]])</f>
        <v>2017</v>
      </c>
      <c r="K307" s="2" t="str">
        <f>TEXT(Table1[[#This Row],[Data]],"mm")</f>
        <v>01</v>
      </c>
    </row>
    <row r="308" spans="1:11">
      <c r="A308" s="3">
        <v>42763</v>
      </c>
      <c r="B308" s="2" t="s">
        <v>29</v>
      </c>
      <c r="C308" s="2" t="s">
        <v>66</v>
      </c>
      <c r="D308" s="2" t="s">
        <v>35</v>
      </c>
      <c r="E308" s="2" t="s">
        <v>13</v>
      </c>
      <c r="F308" s="2" t="s">
        <v>15</v>
      </c>
      <c r="G308" s="2" t="s">
        <v>40</v>
      </c>
      <c r="H308" s="2" t="s">
        <v>43</v>
      </c>
      <c r="I308" s="2" t="s">
        <v>59</v>
      </c>
      <c r="J308" s="2">
        <f>YEAR(Table1[[#This Row],[Data]])</f>
        <v>2017</v>
      </c>
      <c r="K308" s="2" t="str">
        <f>TEXT(Table1[[#This Row],[Data]],"mm")</f>
        <v>01</v>
      </c>
    </row>
    <row r="309" spans="1:11">
      <c r="A309" s="3">
        <v>42766</v>
      </c>
      <c r="B309" s="2" t="s">
        <v>30</v>
      </c>
      <c r="C309" s="2" t="s">
        <v>77</v>
      </c>
      <c r="D309" s="2" t="s">
        <v>34</v>
      </c>
      <c r="E309" s="2" t="s">
        <v>13</v>
      </c>
      <c r="F309" s="2" t="s">
        <v>15</v>
      </c>
      <c r="G309" s="2" t="s">
        <v>40</v>
      </c>
      <c r="H309" s="2" t="s">
        <v>43</v>
      </c>
      <c r="I309" s="2" t="s">
        <v>36</v>
      </c>
      <c r="J309" s="2">
        <f>YEAR(Table1[[#This Row],[Data]])</f>
        <v>2017</v>
      </c>
      <c r="K309" s="2" t="str">
        <f>TEXT(Table1[[#This Row],[Data]],"mm")</f>
        <v>01</v>
      </c>
    </row>
    <row r="310" spans="1:11">
      <c r="A310" s="3">
        <v>42766</v>
      </c>
      <c r="B310" s="2" t="s">
        <v>29</v>
      </c>
      <c r="C310" s="2" t="s">
        <v>66</v>
      </c>
      <c r="D310" s="2" t="s">
        <v>35</v>
      </c>
      <c r="E310" s="2" t="s">
        <v>13</v>
      </c>
      <c r="F310" s="2" t="s">
        <v>16</v>
      </c>
      <c r="G310" s="2" t="s">
        <v>40</v>
      </c>
      <c r="H310" s="2" t="s">
        <v>43</v>
      </c>
      <c r="I310" s="2" t="s">
        <v>59</v>
      </c>
      <c r="J310" s="2">
        <f>YEAR(Table1[[#This Row],[Data]])</f>
        <v>2017</v>
      </c>
      <c r="K310" s="2" t="str">
        <f>TEXT(Table1[[#This Row],[Data]],"mm")</f>
        <v>01</v>
      </c>
    </row>
    <row r="311" spans="1:11">
      <c r="A311" s="3">
        <v>42767</v>
      </c>
      <c r="B311" s="2" t="s">
        <v>31</v>
      </c>
      <c r="C311" s="2" t="s">
        <v>80</v>
      </c>
      <c r="D311" s="2" t="s">
        <v>36</v>
      </c>
      <c r="E311" s="2" t="s">
        <v>13</v>
      </c>
      <c r="F311" s="2" t="s">
        <v>14</v>
      </c>
      <c r="G311" s="2" t="s">
        <v>40</v>
      </c>
      <c r="H311" s="2" t="s">
        <v>44</v>
      </c>
      <c r="I311" s="2" t="s">
        <v>91</v>
      </c>
      <c r="J311" s="2">
        <f>YEAR(Table1[[#This Row],[Data]])</f>
        <v>2017</v>
      </c>
      <c r="K311" s="2" t="str">
        <f>TEXT(Table1[[#This Row],[Data]],"mm")</f>
        <v>02</v>
      </c>
    </row>
    <row r="312" spans="1:11">
      <c r="A312" s="3">
        <v>42770</v>
      </c>
      <c r="B312" s="2" t="s">
        <v>30</v>
      </c>
      <c r="C312" s="2" t="s">
        <v>67</v>
      </c>
      <c r="D312" s="2" t="s">
        <v>35</v>
      </c>
      <c r="E312" s="2" t="s">
        <v>13</v>
      </c>
      <c r="F312" s="2" t="s">
        <v>15</v>
      </c>
      <c r="G312" s="2" t="s">
        <v>40</v>
      </c>
      <c r="H312" s="2" t="s">
        <v>43</v>
      </c>
      <c r="I312" s="2" t="s">
        <v>52</v>
      </c>
      <c r="J312" s="2">
        <f>YEAR(Table1[[#This Row],[Data]])</f>
        <v>2017</v>
      </c>
      <c r="K312" s="2" t="str">
        <f>TEXT(Table1[[#This Row],[Data]],"mm")</f>
        <v>02</v>
      </c>
    </row>
    <row r="313" spans="1:11">
      <c r="A313" s="3">
        <v>42771</v>
      </c>
      <c r="B313" s="2" t="s">
        <v>31</v>
      </c>
      <c r="C313" s="2" t="s">
        <v>80</v>
      </c>
      <c r="D313" s="2" t="s">
        <v>36</v>
      </c>
      <c r="E313" s="2" t="s">
        <v>13</v>
      </c>
      <c r="F313" s="2" t="s">
        <v>14</v>
      </c>
      <c r="G313" s="2" t="s">
        <v>40</v>
      </c>
      <c r="H313" s="2" t="s">
        <v>43</v>
      </c>
      <c r="I313" s="2" t="s">
        <v>36</v>
      </c>
      <c r="J313" s="2">
        <f>YEAR(Table1[[#This Row],[Data]])</f>
        <v>2017</v>
      </c>
      <c r="K313" s="2" t="str">
        <f>TEXT(Table1[[#This Row],[Data]],"mm")</f>
        <v>02</v>
      </c>
    </row>
    <row r="314" spans="1:11">
      <c r="A314" s="3">
        <v>42773</v>
      </c>
      <c r="B314" s="2" t="s">
        <v>29</v>
      </c>
      <c r="C314" s="2" t="s">
        <v>69</v>
      </c>
      <c r="D314" s="2" t="s">
        <v>35</v>
      </c>
      <c r="E314" s="2" t="s">
        <v>13</v>
      </c>
      <c r="F314" s="2" t="s">
        <v>14</v>
      </c>
      <c r="G314" s="2" t="s">
        <v>40</v>
      </c>
      <c r="H314" s="2" t="s">
        <v>44</v>
      </c>
      <c r="I314" s="2" t="s">
        <v>36</v>
      </c>
      <c r="J314" s="2">
        <f>YEAR(Table1[[#This Row],[Data]])</f>
        <v>2017</v>
      </c>
      <c r="K314" s="2" t="str">
        <f>TEXT(Table1[[#This Row],[Data]],"mm")</f>
        <v>02</v>
      </c>
    </row>
    <row r="315" spans="1:11">
      <c r="A315" s="3">
        <v>42773</v>
      </c>
      <c r="B315" s="2" t="s">
        <v>29</v>
      </c>
      <c r="C315" s="2" t="s">
        <v>68</v>
      </c>
      <c r="D315" s="2" t="s">
        <v>35</v>
      </c>
      <c r="E315" s="2" t="s">
        <v>14</v>
      </c>
      <c r="F315" s="2" t="s">
        <v>17</v>
      </c>
      <c r="G315" s="2" t="s">
        <v>40</v>
      </c>
      <c r="H315" s="2" t="s">
        <v>43</v>
      </c>
      <c r="I315" s="2" t="s">
        <v>60</v>
      </c>
      <c r="J315" s="2">
        <f>YEAR(Table1[[#This Row],[Data]])</f>
        <v>2017</v>
      </c>
      <c r="K315" s="2" t="str">
        <f>TEXT(Table1[[#This Row],[Data]],"mm")</f>
        <v>02</v>
      </c>
    </row>
    <row r="316" spans="1:11">
      <c r="A316" s="3">
        <v>42774</v>
      </c>
      <c r="B316" s="2" t="s">
        <v>29</v>
      </c>
      <c r="C316" s="2" t="s">
        <v>68</v>
      </c>
      <c r="D316" s="2" t="s">
        <v>35</v>
      </c>
      <c r="E316" s="2" t="s">
        <v>14</v>
      </c>
      <c r="F316" s="2" t="s">
        <v>16</v>
      </c>
      <c r="G316" s="2" t="s">
        <v>40</v>
      </c>
      <c r="H316" s="2" t="s">
        <v>44</v>
      </c>
      <c r="I316" s="2" t="s">
        <v>55</v>
      </c>
      <c r="J316" s="2">
        <f>YEAR(Table1[[#This Row],[Data]])</f>
        <v>2017</v>
      </c>
      <c r="K316" s="2" t="str">
        <f>TEXT(Table1[[#This Row],[Data]],"mm")</f>
        <v>02</v>
      </c>
    </row>
    <row r="317" spans="1:11">
      <c r="A317" s="3">
        <v>42774</v>
      </c>
      <c r="B317" s="2" t="s">
        <v>30</v>
      </c>
      <c r="C317" s="2" t="s">
        <v>77</v>
      </c>
      <c r="D317" s="2" t="s">
        <v>34</v>
      </c>
      <c r="E317" s="2" t="s">
        <v>13</v>
      </c>
      <c r="F317" s="2" t="s">
        <v>14</v>
      </c>
      <c r="G317" s="2" t="s">
        <v>39</v>
      </c>
      <c r="H317" s="2" t="s">
        <v>44</v>
      </c>
      <c r="I317" s="2" t="s">
        <v>36</v>
      </c>
      <c r="J317" s="2">
        <f>YEAR(Table1[[#This Row],[Data]])</f>
        <v>2017</v>
      </c>
      <c r="K317" s="2" t="str">
        <f>TEXT(Table1[[#This Row],[Data]],"mm")</f>
        <v>02</v>
      </c>
    </row>
    <row r="318" spans="1:11">
      <c r="A318" s="3">
        <v>42774</v>
      </c>
      <c r="B318" s="2" t="s">
        <v>30</v>
      </c>
      <c r="C318" s="2" t="s">
        <v>77</v>
      </c>
      <c r="D318" s="2" t="s">
        <v>34</v>
      </c>
      <c r="E318" s="2" t="s">
        <v>13</v>
      </c>
      <c r="F318" s="2" t="s">
        <v>13</v>
      </c>
      <c r="G318" s="2" t="s">
        <v>40</v>
      </c>
      <c r="H318" s="2" t="s">
        <v>45</v>
      </c>
      <c r="I318" s="2" t="s">
        <v>51</v>
      </c>
      <c r="J318" s="2">
        <f>YEAR(Table1[[#This Row],[Data]])</f>
        <v>2017</v>
      </c>
      <c r="K318" s="2" t="str">
        <f>TEXT(Table1[[#This Row],[Data]],"mm")</f>
        <v>02</v>
      </c>
    </row>
    <row r="319" spans="1:11">
      <c r="A319" s="3">
        <v>42774</v>
      </c>
      <c r="B319" s="2" t="s">
        <v>29</v>
      </c>
      <c r="C319" s="2" t="s">
        <v>69</v>
      </c>
      <c r="D319" s="2" t="s">
        <v>35</v>
      </c>
      <c r="E319" s="2" t="s">
        <v>14</v>
      </c>
      <c r="F319" s="2" t="s">
        <v>15</v>
      </c>
      <c r="G319" s="2" t="s">
        <v>40</v>
      </c>
      <c r="H319" s="2" t="s">
        <v>44</v>
      </c>
      <c r="I319" s="2" t="s">
        <v>55</v>
      </c>
      <c r="J319" s="2">
        <f>YEAR(Table1[[#This Row],[Data]])</f>
        <v>2017</v>
      </c>
      <c r="K319" s="2" t="str">
        <f>TEXT(Table1[[#This Row],[Data]],"mm")</f>
        <v>02</v>
      </c>
    </row>
    <row r="320" spans="1:11">
      <c r="A320" s="3">
        <v>42774</v>
      </c>
      <c r="B320" s="2" t="s">
        <v>29</v>
      </c>
      <c r="C320" s="2" t="s">
        <v>71</v>
      </c>
      <c r="D320" s="2" t="s">
        <v>34</v>
      </c>
      <c r="E320" s="2" t="s">
        <v>13</v>
      </c>
      <c r="F320" s="2" t="s">
        <v>15</v>
      </c>
      <c r="G320" s="2" t="s">
        <v>40</v>
      </c>
      <c r="H320" s="2" t="s">
        <v>43</v>
      </c>
      <c r="I320" s="2" t="s">
        <v>92</v>
      </c>
      <c r="J320" s="2">
        <f>YEAR(Table1[[#This Row],[Data]])</f>
        <v>2017</v>
      </c>
      <c r="K320" s="2" t="str">
        <f>TEXT(Table1[[#This Row],[Data]],"mm")</f>
        <v>02</v>
      </c>
    </row>
    <row r="321" spans="1:11">
      <c r="A321" s="3">
        <v>42775</v>
      </c>
      <c r="B321" s="2" t="s">
        <v>29</v>
      </c>
      <c r="C321" s="2" t="s">
        <v>68</v>
      </c>
      <c r="D321" s="2" t="s">
        <v>35</v>
      </c>
      <c r="E321" s="2" t="s">
        <v>16</v>
      </c>
      <c r="F321" s="2" t="s">
        <v>17</v>
      </c>
      <c r="G321" s="2" t="s">
        <v>40</v>
      </c>
      <c r="H321" s="2" t="s">
        <v>45</v>
      </c>
      <c r="I321" s="2" t="s">
        <v>93</v>
      </c>
      <c r="J321" s="2">
        <f>YEAR(Table1[[#This Row],[Data]])</f>
        <v>2017</v>
      </c>
      <c r="K321" s="2" t="str">
        <f>TEXT(Table1[[#This Row],[Data]],"mm")</f>
        <v>02</v>
      </c>
    </row>
    <row r="322" spans="1:11">
      <c r="A322" s="3">
        <v>42774</v>
      </c>
      <c r="B322" s="2" t="s">
        <v>29</v>
      </c>
      <c r="C322" s="2" t="s">
        <v>71</v>
      </c>
      <c r="D322" s="2" t="s">
        <v>34</v>
      </c>
      <c r="E322" s="2" t="s">
        <v>13</v>
      </c>
      <c r="F322" s="2" t="s">
        <v>13</v>
      </c>
      <c r="G322" s="2" t="s">
        <v>40</v>
      </c>
      <c r="H322" s="2" t="s">
        <v>45</v>
      </c>
      <c r="I322" s="2" t="s">
        <v>52</v>
      </c>
      <c r="J322" s="2">
        <f>YEAR(Table1[[#This Row],[Data]])</f>
        <v>2017</v>
      </c>
      <c r="K322" s="2" t="str">
        <f>TEXT(Table1[[#This Row],[Data]],"mm")</f>
        <v>02</v>
      </c>
    </row>
    <row r="323" spans="1:11">
      <c r="A323" s="3">
        <v>42779</v>
      </c>
      <c r="B323" s="2" t="s">
        <v>30</v>
      </c>
      <c r="C323" s="2" t="s">
        <v>77</v>
      </c>
      <c r="D323" s="2" t="s">
        <v>34</v>
      </c>
      <c r="E323" s="2" t="s">
        <v>14</v>
      </c>
      <c r="F323" s="2" t="s">
        <v>15</v>
      </c>
      <c r="G323" s="2" t="s">
        <v>40</v>
      </c>
      <c r="H323" s="2" t="s">
        <v>43</v>
      </c>
      <c r="I323" s="2" t="s">
        <v>51</v>
      </c>
      <c r="J323" s="2">
        <f>YEAR(Table1[[#This Row],[Data]])</f>
        <v>2017</v>
      </c>
      <c r="K323" s="2" t="str">
        <f>TEXT(Table1[[#This Row],[Data]],"mm")</f>
        <v>02</v>
      </c>
    </row>
    <row r="324" spans="1:11">
      <c r="A324" s="3">
        <v>42779</v>
      </c>
      <c r="B324" s="2" t="s">
        <v>30</v>
      </c>
      <c r="C324" s="2" t="s">
        <v>70</v>
      </c>
      <c r="D324" s="2" t="s">
        <v>34</v>
      </c>
      <c r="E324" s="2" t="s">
        <v>13</v>
      </c>
      <c r="F324" s="2" t="s">
        <v>16</v>
      </c>
      <c r="G324" s="2" t="s">
        <v>40</v>
      </c>
      <c r="H324" s="2" t="s">
        <v>43</v>
      </c>
      <c r="I324" s="2" t="s">
        <v>57</v>
      </c>
      <c r="J324" s="2">
        <f>YEAR(Table1[[#This Row],[Data]])</f>
        <v>2017</v>
      </c>
      <c r="K324" s="2" t="str">
        <f>TEXT(Table1[[#This Row],[Data]],"mm")</f>
        <v>02</v>
      </c>
    </row>
    <row r="325" spans="1:11">
      <c r="A325" s="3">
        <v>42779</v>
      </c>
      <c r="B325" s="2" t="s">
        <v>30</v>
      </c>
      <c r="C325" s="2" t="s">
        <v>70</v>
      </c>
      <c r="D325" s="2" t="s">
        <v>34</v>
      </c>
      <c r="E325" s="2" t="s">
        <v>15</v>
      </c>
      <c r="F325" s="2" t="s">
        <v>16</v>
      </c>
      <c r="G325" s="2" t="s">
        <v>40</v>
      </c>
      <c r="H325" s="2" t="s">
        <v>43</v>
      </c>
      <c r="I325" s="2" t="s">
        <v>94</v>
      </c>
      <c r="J325" s="2">
        <f>YEAR(Table1[[#This Row],[Data]])</f>
        <v>2017</v>
      </c>
      <c r="K325" s="2" t="str">
        <f>TEXT(Table1[[#This Row],[Data]],"mm")</f>
        <v>02</v>
      </c>
    </row>
    <row r="326" spans="1:11">
      <c r="A326" s="3">
        <v>42780</v>
      </c>
      <c r="B326" s="2" t="s">
        <v>29</v>
      </c>
      <c r="C326" s="2" t="s">
        <v>68</v>
      </c>
      <c r="D326" s="2" t="s">
        <v>35</v>
      </c>
      <c r="E326" s="2" t="s">
        <v>16</v>
      </c>
      <c r="F326" s="2" t="s">
        <v>17</v>
      </c>
      <c r="G326" s="2" t="s">
        <v>40</v>
      </c>
      <c r="H326" s="2" t="s">
        <v>44</v>
      </c>
      <c r="I326" s="2" t="s">
        <v>51</v>
      </c>
      <c r="J326" s="2">
        <f>YEAR(Table1[[#This Row],[Data]])</f>
        <v>2017</v>
      </c>
      <c r="K326" s="2" t="str">
        <f>TEXT(Table1[[#This Row],[Data]],"mm")</f>
        <v>02</v>
      </c>
    </row>
    <row r="327" spans="1:11">
      <c r="A327" s="3">
        <v>42781</v>
      </c>
      <c r="B327" s="2" t="s">
        <v>31</v>
      </c>
      <c r="C327" s="2" t="s">
        <v>80</v>
      </c>
      <c r="D327" s="2" t="s">
        <v>36</v>
      </c>
      <c r="E327" s="2" t="s">
        <v>13</v>
      </c>
      <c r="F327" s="2" t="s">
        <v>13</v>
      </c>
      <c r="G327" s="2" t="s">
        <v>40</v>
      </c>
      <c r="H327" s="2" t="s">
        <v>44</v>
      </c>
      <c r="I327" s="2" t="s">
        <v>56</v>
      </c>
      <c r="J327" s="2">
        <f>YEAR(Table1[[#This Row],[Data]])</f>
        <v>2017</v>
      </c>
      <c r="K327" s="2" t="str">
        <f>TEXT(Table1[[#This Row],[Data]],"mm")</f>
        <v>02</v>
      </c>
    </row>
    <row r="328" spans="1:11">
      <c r="A328" s="3">
        <v>42782</v>
      </c>
      <c r="B328" s="2" t="s">
        <v>29</v>
      </c>
      <c r="C328" s="2" t="s">
        <v>68</v>
      </c>
      <c r="D328" s="2" t="s">
        <v>35</v>
      </c>
      <c r="E328" s="2" t="s">
        <v>13</v>
      </c>
      <c r="F328" s="2" t="s">
        <v>14</v>
      </c>
      <c r="G328" s="2" t="s">
        <v>39</v>
      </c>
      <c r="H328" s="2" t="s">
        <v>45</v>
      </c>
      <c r="I328" s="2" t="s">
        <v>58</v>
      </c>
      <c r="J328" s="2">
        <f>YEAR(Table1[[#This Row],[Data]])</f>
        <v>2017</v>
      </c>
      <c r="K328" s="2" t="str">
        <f>TEXT(Table1[[#This Row],[Data]],"mm")</f>
        <v>02</v>
      </c>
    </row>
    <row r="329" spans="1:11">
      <c r="A329" s="3">
        <v>42783</v>
      </c>
      <c r="B329" s="2" t="s">
        <v>29</v>
      </c>
      <c r="C329" s="2" t="s">
        <v>69</v>
      </c>
      <c r="D329" s="2" t="s">
        <v>35</v>
      </c>
      <c r="E329" s="2" t="s">
        <v>13</v>
      </c>
      <c r="F329" s="2" t="s">
        <v>15</v>
      </c>
      <c r="G329" s="2" t="s">
        <v>40</v>
      </c>
      <c r="H329" s="2" t="s">
        <v>44</v>
      </c>
      <c r="I329" s="2" t="s">
        <v>95</v>
      </c>
      <c r="J329" s="2">
        <f>YEAR(Table1[[#This Row],[Data]])</f>
        <v>2017</v>
      </c>
      <c r="K329" s="2" t="str">
        <f>TEXT(Table1[[#This Row],[Data]],"mm")</f>
        <v>02</v>
      </c>
    </row>
    <row r="330" spans="1:11">
      <c r="A330" s="3">
        <v>42783</v>
      </c>
      <c r="B330" s="2" t="s">
        <v>29</v>
      </c>
      <c r="C330" s="2" t="s">
        <v>66</v>
      </c>
      <c r="D330" s="2" t="s">
        <v>35</v>
      </c>
      <c r="E330" s="2" t="s">
        <v>13</v>
      </c>
      <c r="F330" s="2" t="s">
        <v>15</v>
      </c>
      <c r="G330" s="2" t="s">
        <v>40</v>
      </c>
      <c r="H330" s="2" t="s">
        <v>43</v>
      </c>
      <c r="I330" s="2" t="s">
        <v>54</v>
      </c>
      <c r="J330" s="2">
        <f>YEAR(Table1[[#This Row],[Data]])</f>
        <v>2017</v>
      </c>
      <c r="K330" s="2" t="str">
        <f>TEXT(Table1[[#This Row],[Data]],"mm")</f>
        <v>02</v>
      </c>
    </row>
    <row r="331" spans="1:11">
      <c r="A331" s="3">
        <v>42783</v>
      </c>
      <c r="B331" s="2" t="s">
        <v>29</v>
      </c>
      <c r="C331" s="2" t="s">
        <v>66</v>
      </c>
      <c r="D331" s="2" t="s">
        <v>35</v>
      </c>
      <c r="E331" s="2" t="s">
        <v>13</v>
      </c>
      <c r="F331" s="2" t="s">
        <v>16</v>
      </c>
      <c r="G331" s="2" t="s">
        <v>40</v>
      </c>
      <c r="H331" s="2" t="s">
        <v>44</v>
      </c>
      <c r="I331" s="2" t="s">
        <v>57</v>
      </c>
      <c r="J331" s="2">
        <f>YEAR(Table1[[#This Row],[Data]])</f>
        <v>2017</v>
      </c>
      <c r="K331" s="2" t="str">
        <f>TEXT(Table1[[#This Row],[Data]],"mm")</f>
        <v>02</v>
      </c>
    </row>
    <row r="332" spans="1:11">
      <c r="A332" s="3">
        <v>42789</v>
      </c>
      <c r="B332" s="2" t="s">
        <v>29</v>
      </c>
      <c r="C332" s="2" t="s">
        <v>69</v>
      </c>
      <c r="D332" s="2" t="s">
        <v>35</v>
      </c>
      <c r="E332" s="2" t="s">
        <v>16</v>
      </c>
      <c r="F332" s="2" t="s">
        <v>16</v>
      </c>
      <c r="G332" s="2" t="s">
        <v>40</v>
      </c>
      <c r="H332" s="2" t="s">
        <v>44</v>
      </c>
      <c r="I332" s="2" t="s">
        <v>59</v>
      </c>
      <c r="J332" s="2">
        <f>YEAR(Table1[[#This Row],[Data]])</f>
        <v>2017</v>
      </c>
      <c r="K332" s="2" t="str">
        <f>TEXT(Table1[[#This Row],[Data]],"mm")</f>
        <v>02</v>
      </c>
    </row>
    <row r="333" spans="1:11">
      <c r="A333" s="3">
        <v>42789</v>
      </c>
      <c r="B333" s="2" t="s">
        <v>30</v>
      </c>
      <c r="C333" s="2" t="s">
        <v>75</v>
      </c>
      <c r="D333" s="2" t="s">
        <v>35</v>
      </c>
      <c r="E333" s="2" t="s">
        <v>13</v>
      </c>
      <c r="F333" s="2" t="s">
        <v>15</v>
      </c>
      <c r="G333" s="2" t="s">
        <v>40</v>
      </c>
      <c r="H333" s="2" t="s">
        <v>45</v>
      </c>
      <c r="I333" s="2" t="s">
        <v>56</v>
      </c>
      <c r="J333" s="2">
        <f>YEAR(Table1[[#This Row],[Data]])</f>
        <v>2017</v>
      </c>
      <c r="K333" s="2" t="str">
        <f>TEXT(Table1[[#This Row],[Data]],"mm")</f>
        <v>02</v>
      </c>
    </row>
    <row r="334" spans="1:11">
      <c r="A334" s="3">
        <v>42791</v>
      </c>
      <c r="B334" s="2" t="s">
        <v>29</v>
      </c>
      <c r="C334" s="2" t="s">
        <v>66</v>
      </c>
      <c r="D334" s="2" t="s">
        <v>35</v>
      </c>
      <c r="E334" s="2" t="s">
        <v>16</v>
      </c>
      <c r="F334" s="2" t="s">
        <v>16</v>
      </c>
      <c r="G334" s="2" t="s">
        <v>40</v>
      </c>
      <c r="H334" s="2" t="s">
        <v>45</v>
      </c>
      <c r="I334" s="2" t="s">
        <v>58</v>
      </c>
      <c r="J334" s="2">
        <f>YEAR(Table1[[#This Row],[Data]])</f>
        <v>2017</v>
      </c>
      <c r="K334" s="2" t="str">
        <f>TEXT(Table1[[#This Row],[Data]],"mm")</f>
        <v>02</v>
      </c>
    </row>
    <row r="335" spans="1:11">
      <c r="A335" s="3">
        <v>42791</v>
      </c>
      <c r="B335" s="2" t="s">
        <v>29</v>
      </c>
      <c r="C335" s="2" t="s">
        <v>66</v>
      </c>
      <c r="D335" s="2" t="s">
        <v>35</v>
      </c>
      <c r="E335" s="2" t="s">
        <v>13</v>
      </c>
      <c r="F335" s="2" t="s">
        <v>15</v>
      </c>
      <c r="G335" s="2" t="s">
        <v>40</v>
      </c>
      <c r="H335" s="2" t="s">
        <v>43</v>
      </c>
      <c r="I335" s="2" t="s">
        <v>57</v>
      </c>
      <c r="J335" s="2">
        <f>YEAR(Table1[[#This Row],[Data]])</f>
        <v>2017</v>
      </c>
      <c r="K335" s="2" t="str">
        <f>TEXT(Table1[[#This Row],[Data]],"mm")</f>
        <v>02</v>
      </c>
    </row>
    <row r="336" spans="1:11">
      <c r="A336" s="3">
        <v>42791</v>
      </c>
      <c r="B336" s="2" t="s">
        <v>31</v>
      </c>
      <c r="C336" s="2" t="s">
        <v>80</v>
      </c>
      <c r="D336" s="2" t="s">
        <v>36</v>
      </c>
      <c r="E336" s="2" t="s">
        <v>13</v>
      </c>
      <c r="F336" s="2" t="s">
        <v>13</v>
      </c>
      <c r="G336" s="2" t="s">
        <v>40</v>
      </c>
      <c r="H336" s="2" t="s">
        <v>44</v>
      </c>
      <c r="I336" s="2" t="s">
        <v>56</v>
      </c>
      <c r="J336" s="2">
        <f>YEAR(Table1[[#This Row],[Data]])</f>
        <v>2017</v>
      </c>
      <c r="K336" s="2" t="str">
        <f>TEXT(Table1[[#This Row],[Data]],"mm")</f>
        <v>02</v>
      </c>
    </row>
    <row r="337" spans="1:11">
      <c r="A337" s="3">
        <v>42792</v>
      </c>
      <c r="B337" s="2" t="s">
        <v>29</v>
      </c>
      <c r="C337" s="2" t="s">
        <v>66</v>
      </c>
      <c r="D337" s="2" t="s">
        <v>35</v>
      </c>
      <c r="E337" s="2" t="s">
        <v>13</v>
      </c>
      <c r="F337" s="2" t="s">
        <v>15</v>
      </c>
      <c r="G337" s="2" t="s">
        <v>40</v>
      </c>
      <c r="H337" s="2" t="s">
        <v>44</v>
      </c>
      <c r="I337" s="2" t="s">
        <v>58</v>
      </c>
      <c r="J337" s="2">
        <f>YEAR(Table1[[#This Row],[Data]])</f>
        <v>2017</v>
      </c>
      <c r="K337" s="2" t="str">
        <f>TEXT(Table1[[#This Row],[Data]],"mm")</f>
        <v>02</v>
      </c>
    </row>
    <row r="338" spans="1:11">
      <c r="A338" s="3">
        <v>42792</v>
      </c>
      <c r="B338" s="2" t="s">
        <v>30</v>
      </c>
      <c r="C338" s="2" t="s">
        <v>75</v>
      </c>
      <c r="D338" s="2" t="s">
        <v>35</v>
      </c>
      <c r="E338" s="2" t="s">
        <v>13</v>
      </c>
      <c r="F338" s="2" t="s">
        <v>16</v>
      </c>
      <c r="G338" s="2" t="s">
        <v>40</v>
      </c>
      <c r="H338" s="2" t="s">
        <v>43</v>
      </c>
      <c r="I338" s="2" t="s">
        <v>84</v>
      </c>
      <c r="J338" s="2">
        <f>YEAR(Table1[[#This Row],[Data]])</f>
        <v>2017</v>
      </c>
      <c r="K338" s="2" t="str">
        <f>TEXT(Table1[[#This Row],[Data]],"mm")</f>
        <v>02</v>
      </c>
    </row>
    <row r="339" spans="1:11">
      <c r="A339" s="3">
        <v>42793</v>
      </c>
      <c r="B339" s="2" t="s">
        <v>29</v>
      </c>
      <c r="C339" s="2" t="s">
        <v>68</v>
      </c>
      <c r="D339" s="2" t="s">
        <v>35</v>
      </c>
      <c r="E339" s="2" t="s">
        <v>14</v>
      </c>
      <c r="F339" s="2" t="s">
        <v>16</v>
      </c>
      <c r="G339" s="2" t="s">
        <v>40</v>
      </c>
      <c r="H339" s="2" t="s">
        <v>44</v>
      </c>
      <c r="I339" s="2" t="s">
        <v>60</v>
      </c>
      <c r="J339" s="2">
        <f>YEAR(Table1[[#This Row],[Data]])</f>
        <v>2017</v>
      </c>
      <c r="K339" s="2" t="str">
        <f>TEXT(Table1[[#This Row],[Data]],"mm")</f>
        <v>02</v>
      </c>
    </row>
    <row r="340" spans="1:11">
      <c r="A340" s="3">
        <v>42793</v>
      </c>
      <c r="B340" s="2" t="s">
        <v>30</v>
      </c>
      <c r="C340" s="2" t="s">
        <v>67</v>
      </c>
      <c r="D340" s="2" t="s">
        <v>35</v>
      </c>
      <c r="E340" s="2" t="s">
        <v>15</v>
      </c>
      <c r="F340" s="2" t="s">
        <v>16</v>
      </c>
      <c r="G340" s="2" t="s">
        <v>40</v>
      </c>
      <c r="H340" s="2" t="s">
        <v>43</v>
      </c>
      <c r="I340" s="2" t="s">
        <v>36</v>
      </c>
      <c r="J340" s="2">
        <f>YEAR(Table1[[#This Row],[Data]])</f>
        <v>2017</v>
      </c>
      <c r="K340" s="2" t="str">
        <f>TEXT(Table1[[#This Row],[Data]],"mm")</f>
        <v>02</v>
      </c>
    </row>
    <row r="341" spans="1:11">
      <c r="A341" s="3">
        <v>42795</v>
      </c>
      <c r="B341" s="2" t="s">
        <v>29</v>
      </c>
      <c r="C341" s="2" t="s">
        <v>71</v>
      </c>
      <c r="D341" s="2" t="s">
        <v>34</v>
      </c>
      <c r="E341" s="2" t="s">
        <v>13</v>
      </c>
      <c r="F341" s="2" t="s">
        <v>13</v>
      </c>
      <c r="G341" s="2" t="s">
        <v>40</v>
      </c>
      <c r="H341" s="2" t="s">
        <v>45</v>
      </c>
      <c r="I341" s="2" t="s">
        <v>36</v>
      </c>
      <c r="J341" s="2">
        <f>YEAR(Table1[[#This Row],[Data]])</f>
        <v>2017</v>
      </c>
      <c r="K341" s="2" t="str">
        <f>TEXT(Table1[[#This Row],[Data]],"mm")</f>
        <v>03</v>
      </c>
    </row>
    <row r="342" spans="1:11">
      <c r="A342" s="3">
        <v>42796</v>
      </c>
      <c r="B342" s="2" t="s">
        <v>31</v>
      </c>
      <c r="C342" s="2" t="s">
        <v>80</v>
      </c>
      <c r="D342" s="2" t="s">
        <v>36</v>
      </c>
      <c r="E342" s="2" t="s">
        <v>13</v>
      </c>
      <c r="F342" s="2" t="s">
        <v>13</v>
      </c>
      <c r="G342" s="2" t="s">
        <v>40</v>
      </c>
      <c r="H342" s="2" t="s">
        <v>44</v>
      </c>
      <c r="I342" s="2" t="s">
        <v>56</v>
      </c>
      <c r="J342" s="2">
        <f>YEAR(Table1[[#This Row],[Data]])</f>
        <v>2017</v>
      </c>
      <c r="K342" s="2" t="str">
        <f>TEXT(Table1[[#This Row],[Data]],"mm")</f>
        <v>03</v>
      </c>
    </row>
    <row r="343" spans="1:11">
      <c r="A343" s="3">
        <v>42798</v>
      </c>
      <c r="B343" s="2" t="s">
        <v>30</v>
      </c>
      <c r="C343" s="2" t="s">
        <v>67</v>
      </c>
      <c r="D343" s="2" t="s">
        <v>35</v>
      </c>
      <c r="E343" s="2" t="s">
        <v>13</v>
      </c>
      <c r="F343" s="2" t="s">
        <v>17</v>
      </c>
      <c r="G343" s="2" t="s">
        <v>40</v>
      </c>
      <c r="H343" s="2" t="s">
        <v>43</v>
      </c>
      <c r="I343" s="2" t="s">
        <v>59</v>
      </c>
      <c r="J343" s="2">
        <f>YEAR(Table1[[#This Row],[Data]])</f>
        <v>2017</v>
      </c>
      <c r="K343" s="2" t="str">
        <f>TEXT(Table1[[#This Row],[Data]],"mm")</f>
        <v>03</v>
      </c>
    </row>
    <row r="344" spans="1:11">
      <c r="A344" s="3">
        <v>42800</v>
      </c>
      <c r="B344" s="2" t="s">
        <v>29</v>
      </c>
      <c r="C344" s="2" t="s">
        <v>69</v>
      </c>
      <c r="D344" s="2" t="s">
        <v>35</v>
      </c>
      <c r="E344" s="2" t="s">
        <v>13</v>
      </c>
      <c r="F344" s="2" t="s">
        <v>15</v>
      </c>
      <c r="G344" s="2" t="s">
        <v>40</v>
      </c>
      <c r="H344" s="2" t="s">
        <v>45</v>
      </c>
      <c r="I344" s="2" t="s">
        <v>58</v>
      </c>
      <c r="J344" s="2">
        <f>YEAR(Table1[[#This Row],[Data]])</f>
        <v>2017</v>
      </c>
      <c r="K344" s="2" t="str">
        <f>TEXT(Table1[[#This Row],[Data]],"mm")</f>
        <v>03</v>
      </c>
    </row>
    <row r="345" spans="1:11">
      <c r="A345" s="3">
        <v>42802</v>
      </c>
      <c r="B345" s="2" t="s">
        <v>31</v>
      </c>
      <c r="C345" s="2" t="s">
        <v>80</v>
      </c>
      <c r="D345" s="2" t="s">
        <v>36</v>
      </c>
      <c r="E345" s="2" t="s">
        <v>13</v>
      </c>
      <c r="F345" s="2" t="s">
        <v>13</v>
      </c>
      <c r="G345" s="2" t="s">
        <v>40</v>
      </c>
      <c r="H345" s="2" t="s">
        <v>44</v>
      </c>
      <c r="I345" s="2" t="s">
        <v>36</v>
      </c>
      <c r="J345" s="2">
        <f>YEAR(Table1[[#This Row],[Data]])</f>
        <v>2017</v>
      </c>
      <c r="K345" s="2" t="str">
        <f>TEXT(Table1[[#This Row],[Data]],"mm")</f>
        <v>03</v>
      </c>
    </row>
    <row r="346" spans="1:11">
      <c r="A346" s="3">
        <v>42803</v>
      </c>
      <c r="B346" s="2" t="s">
        <v>29</v>
      </c>
      <c r="C346" s="2" t="s">
        <v>68</v>
      </c>
      <c r="D346" s="2" t="s">
        <v>35</v>
      </c>
      <c r="E346" s="2" t="s">
        <v>13</v>
      </c>
      <c r="F346" s="2" t="s">
        <v>17</v>
      </c>
      <c r="G346" s="2" t="s">
        <v>40</v>
      </c>
      <c r="H346" s="2" t="s">
        <v>44</v>
      </c>
      <c r="I346" s="2" t="s">
        <v>59</v>
      </c>
      <c r="J346" s="2">
        <f>YEAR(Table1[[#This Row],[Data]])</f>
        <v>2017</v>
      </c>
      <c r="K346" s="2" t="str">
        <f>TEXT(Table1[[#This Row],[Data]],"mm")</f>
        <v>03</v>
      </c>
    </row>
    <row r="347" spans="1:11">
      <c r="A347" s="3">
        <v>42802</v>
      </c>
      <c r="B347" s="2" t="s">
        <v>29</v>
      </c>
      <c r="C347" s="2" t="s">
        <v>66</v>
      </c>
      <c r="D347" s="2" t="s">
        <v>35</v>
      </c>
      <c r="E347" s="2" t="s">
        <v>17</v>
      </c>
      <c r="F347" s="2" t="s">
        <v>17</v>
      </c>
      <c r="G347" s="2" t="s">
        <v>40</v>
      </c>
      <c r="H347" s="2" t="s">
        <v>44</v>
      </c>
      <c r="I347" s="2" t="s">
        <v>59</v>
      </c>
      <c r="J347" s="2">
        <f>YEAR(Table1[[#This Row],[Data]])</f>
        <v>2017</v>
      </c>
      <c r="K347" s="2" t="str">
        <f>TEXT(Table1[[#This Row],[Data]],"mm")</f>
        <v>03</v>
      </c>
    </row>
    <row r="348" spans="1:11">
      <c r="A348" s="3">
        <v>42803</v>
      </c>
      <c r="B348" s="2" t="s">
        <v>30</v>
      </c>
      <c r="C348" s="2" t="s">
        <v>70</v>
      </c>
      <c r="D348" s="2" t="s">
        <v>34</v>
      </c>
      <c r="E348" s="2" t="s">
        <v>13</v>
      </c>
      <c r="F348" s="2" t="s">
        <v>15</v>
      </c>
      <c r="G348" s="2" t="s">
        <v>40</v>
      </c>
      <c r="H348" s="2" t="s">
        <v>44</v>
      </c>
      <c r="I348" s="2" t="s">
        <v>92</v>
      </c>
      <c r="J348" s="2">
        <f>YEAR(Table1[[#This Row],[Data]])</f>
        <v>2017</v>
      </c>
      <c r="K348" s="2" t="str">
        <f>TEXT(Table1[[#This Row],[Data]],"mm")</f>
        <v>03</v>
      </c>
    </row>
    <row r="349" spans="1:11">
      <c r="A349" s="3">
        <v>42804</v>
      </c>
      <c r="B349" s="2" t="s">
        <v>29</v>
      </c>
      <c r="C349" s="2" t="s">
        <v>68</v>
      </c>
      <c r="D349" s="2" t="s">
        <v>35</v>
      </c>
      <c r="E349" s="2" t="s">
        <v>14</v>
      </c>
      <c r="F349" s="2" t="s">
        <v>16</v>
      </c>
      <c r="G349" s="2" t="s">
        <v>40</v>
      </c>
      <c r="H349" s="2" t="s">
        <v>44</v>
      </c>
      <c r="I349" s="2" t="s">
        <v>96</v>
      </c>
      <c r="J349" s="2">
        <f>YEAR(Table1[[#This Row],[Data]])</f>
        <v>2017</v>
      </c>
      <c r="K349" s="2" t="str">
        <f>TEXT(Table1[[#This Row],[Data]],"mm")</f>
        <v>03</v>
      </c>
    </row>
    <row r="350" spans="1:11">
      <c r="A350" s="3">
        <v>42809</v>
      </c>
      <c r="B350" s="2" t="s">
        <v>31</v>
      </c>
      <c r="C350" s="2" t="s">
        <v>80</v>
      </c>
      <c r="D350" s="2" t="s">
        <v>36</v>
      </c>
      <c r="E350" s="2" t="s">
        <v>13</v>
      </c>
      <c r="F350" s="2" t="s">
        <v>13</v>
      </c>
      <c r="G350" s="2" t="s">
        <v>40</v>
      </c>
      <c r="H350" s="2" t="s">
        <v>44</v>
      </c>
      <c r="I350" s="2" t="s">
        <v>56</v>
      </c>
      <c r="J350" s="2">
        <f>YEAR(Table1[[#This Row],[Data]])</f>
        <v>2017</v>
      </c>
      <c r="K350" s="2" t="str">
        <f>TEXT(Table1[[#This Row],[Data]],"mm")</f>
        <v>03</v>
      </c>
    </row>
    <row r="351" spans="1:11">
      <c r="A351" s="3">
        <v>42809</v>
      </c>
      <c r="B351" s="2" t="s">
        <v>30</v>
      </c>
      <c r="C351" s="2" t="s">
        <v>77</v>
      </c>
      <c r="D351" s="2" t="s">
        <v>34</v>
      </c>
      <c r="E351" s="2" t="s">
        <v>14</v>
      </c>
      <c r="F351" s="2" t="s">
        <v>16</v>
      </c>
      <c r="G351" s="2" t="s">
        <v>39</v>
      </c>
      <c r="H351" s="2" t="s">
        <v>43</v>
      </c>
      <c r="I351" s="2" t="s">
        <v>54</v>
      </c>
      <c r="J351" s="2">
        <f>YEAR(Table1[[#This Row],[Data]])</f>
        <v>2017</v>
      </c>
      <c r="K351" s="2" t="str">
        <f>TEXT(Table1[[#This Row],[Data]],"mm")</f>
        <v>03</v>
      </c>
    </row>
    <row r="352" spans="1:11">
      <c r="A352" s="3">
        <v>42812</v>
      </c>
      <c r="B352" s="2" t="s">
        <v>29</v>
      </c>
      <c r="C352" s="2" t="s">
        <v>68</v>
      </c>
      <c r="D352" s="2" t="s">
        <v>35</v>
      </c>
      <c r="E352" s="2" t="s">
        <v>17</v>
      </c>
      <c r="F352" s="2" t="s">
        <v>17</v>
      </c>
      <c r="G352" s="2" t="s">
        <v>40</v>
      </c>
      <c r="H352" s="2" t="s">
        <v>45</v>
      </c>
      <c r="I352" s="2" t="s">
        <v>93</v>
      </c>
      <c r="J352" s="2">
        <f>YEAR(Table1[[#This Row],[Data]])</f>
        <v>2017</v>
      </c>
      <c r="K352" s="2" t="str">
        <f>TEXT(Table1[[#This Row],[Data]],"mm")</f>
        <v>03</v>
      </c>
    </row>
    <row r="353" spans="1:11">
      <c r="A353" s="3">
        <v>42816</v>
      </c>
      <c r="B353" s="2" t="s">
        <v>29</v>
      </c>
      <c r="C353" s="2" t="s">
        <v>71</v>
      </c>
      <c r="D353" s="2" t="s">
        <v>34</v>
      </c>
      <c r="E353" s="2" t="s">
        <v>17</v>
      </c>
      <c r="F353" s="2" t="s">
        <v>17</v>
      </c>
      <c r="G353" s="2" t="s">
        <v>40</v>
      </c>
      <c r="H353" s="2" t="s">
        <v>45</v>
      </c>
      <c r="I353" s="2" t="s">
        <v>93</v>
      </c>
      <c r="J353" s="2">
        <f>YEAR(Table1[[#This Row],[Data]])</f>
        <v>2017</v>
      </c>
      <c r="K353" s="2" t="str">
        <f>TEXT(Table1[[#This Row],[Data]],"mm")</f>
        <v>03</v>
      </c>
    </row>
    <row r="354" spans="1:11">
      <c r="A354" s="3">
        <v>42819</v>
      </c>
      <c r="B354" s="2" t="s">
        <v>29</v>
      </c>
      <c r="C354" s="2" t="s">
        <v>68</v>
      </c>
      <c r="D354" s="2" t="s">
        <v>35</v>
      </c>
      <c r="E354" s="2" t="s">
        <v>14</v>
      </c>
      <c r="F354" s="2" t="s">
        <v>17</v>
      </c>
      <c r="G354" s="2" t="s">
        <v>40</v>
      </c>
      <c r="H354" s="2" t="s">
        <v>44</v>
      </c>
      <c r="I354" s="2" t="s">
        <v>59</v>
      </c>
      <c r="J354" s="2">
        <f>YEAR(Table1[[#This Row],[Data]])</f>
        <v>2017</v>
      </c>
      <c r="K354" s="2" t="str">
        <f>TEXT(Table1[[#This Row],[Data]],"mm")</f>
        <v>03</v>
      </c>
    </row>
    <row r="355" spans="1:11">
      <c r="A355" s="3">
        <v>42819</v>
      </c>
      <c r="B355" s="2" t="s">
        <v>31</v>
      </c>
      <c r="C355" s="2" t="s">
        <v>80</v>
      </c>
      <c r="D355" s="2" t="s">
        <v>36</v>
      </c>
      <c r="E355" s="2" t="s">
        <v>13</v>
      </c>
      <c r="F355" s="2" t="s">
        <v>13</v>
      </c>
      <c r="G355" s="2" t="s">
        <v>40</v>
      </c>
      <c r="H355" s="2" t="s">
        <v>43</v>
      </c>
      <c r="I355" s="2" t="s">
        <v>36</v>
      </c>
      <c r="J355" s="2">
        <f>YEAR(Table1[[#This Row],[Data]])</f>
        <v>2017</v>
      </c>
      <c r="K355" s="2" t="str">
        <f>TEXT(Table1[[#This Row],[Data]],"mm")</f>
        <v>03</v>
      </c>
    </row>
    <row r="356" spans="1:11">
      <c r="A356" s="3">
        <v>42825</v>
      </c>
      <c r="B356" s="2" t="s">
        <v>30</v>
      </c>
      <c r="C356" s="2" t="s">
        <v>70</v>
      </c>
      <c r="D356" s="2" t="s">
        <v>34</v>
      </c>
      <c r="E356" s="2" t="s">
        <v>13</v>
      </c>
      <c r="F356" s="2" t="s">
        <v>16</v>
      </c>
      <c r="G356" s="2" t="s">
        <v>40</v>
      </c>
      <c r="H356" s="2" t="s">
        <v>44</v>
      </c>
      <c r="I356" s="2" t="s">
        <v>84</v>
      </c>
      <c r="J356" s="2">
        <f>YEAR(Table1[[#This Row],[Data]])</f>
        <v>2017</v>
      </c>
      <c r="K356" s="2" t="str">
        <f>TEXT(Table1[[#This Row],[Data]],"mm")</f>
        <v>03</v>
      </c>
    </row>
    <row r="357" spans="1:11">
      <c r="A357" s="3">
        <v>42829</v>
      </c>
      <c r="B357" s="2" t="s">
        <v>30</v>
      </c>
      <c r="C357" s="2" t="s">
        <v>70</v>
      </c>
      <c r="D357" s="2" t="s">
        <v>34</v>
      </c>
      <c r="E357" s="2" t="s">
        <v>13</v>
      </c>
      <c r="F357" s="2" t="s">
        <v>15</v>
      </c>
      <c r="G357" s="2" t="s">
        <v>40</v>
      </c>
      <c r="H357" s="2" t="s">
        <v>43</v>
      </c>
      <c r="I357" s="2" t="s">
        <v>54</v>
      </c>
      <c r="J357" s="2">
        <f>YEAR(Table1[[#This Row],[Data]])</f>
        <v>2017</v>
      </c>
      <c r="K357" s="2" t="str">
        <f>TEXT(Table1[[#This Row],[Data]],"mm")</f>
        <v>04</v>
      </c>
    </row>
    <row r="358" spans="1:11">
      <c r="A358" s="3">
        <v>42830</v>
      </c>
      <c r="B358" s="2" t="s">
        <v>30</v>
      </c>
      <c r="C358" s="2" t="s">
        <v>70</v>
      </c>
      <c r="D358" s="2" t="s">
        <v>34</v>
      </c>
      <c r="E358" s="2" t="s">
        <v>13</v>
      </c>
      <c r="F358" s="2" t="s">
        <v>16</v>
      </c>
      <c r="G358" s="2" t="s">
        <v>40</v>
      </c>
      <c r="H358" s="2" t="s">
        <v>43</v>
      </c>
      <c r="I358" s="2" t="s">
        <v>79</v>
      </c>
      <c r="J358" s="2">
        <f>YEAR(Table1[[#This Row],[Data]])</f>
        <v>2017</v>
      </c>
      <c r="K358" s="2" t="str">
        <f>TEXT(Table1[[#This Row],[Data]],"mm")</f>
        <v>04</v>
      </c>
    </row>
    <row r="359" spans="1:11">
      <c r="A359" s="3">
        <v>42832</v>
      </c>
      <c r="B359" s="2" t="s">
        <v>30</v>
      </c>
      <c r="C359" s="2" t="s">
        <v>67</v>
      </c>
      <c r="D359" s="2" t="s">
        <v>35</v>
      </c>
      <c r="E359" s="2" t="s">
        <v>13</v>
      </c>
      <c r="F359" s="2" t="s">
        <v>15</v>
      </c>
      <c r="G359" s="2" t="s">
        <v>40</v>
      </c>
      <c r="H359" s="2" t="s">
        <v>45</v>
      </c>
      <c r="I359" s="2" t="s">
        <v>36</v>
      </c>
      <c r="J359" s="2">
        <f>YEAR(Table1[[#This Row],[Data]])</f>
        <v>2017</v>
      </c>
      <c r="K359" s="2" t="str">
        <f>TEXT(Table1[[#This Row],[Data]],"mm")</f>
        <v>04</v>
      </c>
    </row>
    <row r="360" spans="1:11">
      <c r="A360" s="3">
        <v>42829</v>
      </c>
      <c r="B360" s="2" t="s">
        <v>31</v>
      </c>
      <c r="C360" s="2" t="s">
        <v>80</v>
      </c>
      <c r="D360" s="2" t="s">
        <v>36</v>
      </c>
      <c r="E360" s="2" t="s">
        <v>13</v>
      </c>
      <c r="F360" s="2" t="s">
        <v>13</v>
      </c>
      <c r="G360" s="2" t="s">
        <v>40</v>
      </c>
      <c r="H360" s="2" t="s">
        <v>44</v>
      </c>
      <c r="I360" s="2" t="s">
        <v>56</v>
      </c>
      <c r="J360" s="2">
        <f>YEAR(Table1[[#This Row],[Data]])</f>
        <v>2017</v>
      </c>
      <c r="K360" s="2" t="str">
        <f>TEXT(Table1[[#This Row],[Data]],"mm")</f>
        <v>04</v>
      </c>
    </row>
    <row r="361" spans="1:11">
      <c r="A361" s="3">
        <v>42831</v>
      </c>
      <c r="B361" s="2" t="s">
        <v>29</v>
      </c>
      <c r="C361" s="2" t="s">
        <v>71</v>
      </c>
      <c r="D361" s="2" t="s">
        <v>34</v>
      </c>
      <c r="E361" s="2" t="s">
        <v>13</v>
      </c>
      <c r="F361" s="2" t="s">
        <v>14</v>
      </c>
      <c r="G361" s="2" t="s">
        <v>40</v>
      </c>
      <c r="H361" s="2" t="s">
        <v>44</v>
      </c>
      <c r="I361" s="2" t="s">
        <v>36</v>
      </c>
      <c r="J361" s="2">
        <f>YEAR(Table1[[#This Row],[Data]])</f>
        <v>2017</v>
      </c>
      <c r="K361" s="2" t="str">
        <f>TEXT(Table1[[#This Row],[Data]],"mm")</f>
        <v>04</v>
      </c>
    </row>
    <row r="362" spans="1:11">
      <c r="A362" s="3">
        <v>42832</v>
      </c>
      <c r="B362" s="2" t="s">
        <v>29</v>
      </c>
      <c r="C362" s="2" t="s">
        <v>68</v>
      </c>
      <c r="D362" s="2" t="s">
        <v>35</v>
      </c>
      <c r="E362" s="2" t="s">
        <v>13</v>
      </c>
      <c r="F362" s="2" t="s">
        <v>16</v>
      </c>
      <c r="G362" s="2" t="s">
        <v>40</v>
      </c>
      <c r="H362" s="2" t="s">
        <v>44</v>
      </c>
      <c r="I362" s="2" t="s">
        <v>84</v>
      </c>
      <c r="J362" s="2">
        <f>YEAR(Table1[[#This Row],[Data]])</f>
        <v>2017</v>
      </c>
      <c r="K362" s="2" t="str">
        <f>TEXT(Table1[[#This Row],[Data]],"mm")</f>
        <v>04</v>
      </c>
    </row>
    <row r="363" spans="1:11">
      <c r="A363" s="3">
        <v>42835</v>
      </c>
      <c r="B363" s="2" t="s">
        <v>30</v>
      </c>
      <c r="C363" s="2" t="s">
        <v>67</v>
      </c>
      <c r="D363" s="2" t="s">
        <v>35</v>
      </c>
      <c r="E363" s="2" t="s">
        <v>13</v>
      </c>
      <c r="F363" s="2" t="s">
        <v>14</v>
      </c>
      <c r="G363" s="2" t="s">
        <v>40</v>
      </c>
      <c r="H363" s="2" t="s">
        <v>44</v>
      </c>
      <c r="I363" s="2" t="s">
        <v>54</v>
      </c>
      <c r="J363" s="2">
        <f>YEAR(Table1[[#This Row],[Data]])</f>
        <v>2017</v>
      </c>
      <c r="K363" s="2" t="str">
        <f>TEXT(Table1[[#This Row],[Data]],"mm")</f>
        <v>04</v>
      </c>
    </row>
    <row r="364" spans="1:11">
      <c r="A364" s="3">
        <v>42833</v>
      </c>
      <c r="B364" s="2" t="s">
        <v>31</v>
      </c>
      <c r="C364" s="2" t="s">
        <v>80</v>
      </c>
      <c r="D364" s="2" t="s">
        <v>36</v>
      </c>
      <c r="E364" s="2" t="s">
        <v>13</v>
      </c>
      <c r="F364" s="2" t="s">
        <v>13</v>
      </c>
      <c r="G364" s="2" t="s">
        <v>40</v>
      </c>
      <c r="H364" s="2" t="s">
        <v>44</v>
      </c>
      <c r="I364" s="2" t="s">
        <v>56</v>
      </c>
      <c r="J364" s="2">
        <f>YEAR(Table1[[#This Row],[Data]])</f>
        <v>2017</v>
      </c>
      <c r="K364" s="2" t="str">
        <f>TEXT(Table1[[#This Row],[Data]],"mm")</f>
        <v>04</v>
      </c>
    </row>
    <row r="365" spans="1:11">
      <c r="A365" s="3">
        <v>42836</v>
      </c>
      <c r="B365" s="2" t="s">
        <v>29</v>
      </c>
      <c r="C365" s="2" t="s">
        <v>68</v>
      </c>
      <c r="D365" s="2" t="s">
        <v>35</v>
      </c>
      <c r="E365" s="2" t="s">
        <v>13</v>
      </c>
      <c r="F365" s="2" t="s">
        <v>16</v>
      </c>
      <c r="G365" s="2" t="s">
        <v>40</v>
      </c>
      <c r="H365" s="2" t="s">
        <v>45</v>
      </c>
      <c r="I365" s="2" t="s">
        <v>97</v>
      </c>
      <c r="J365" s="2">
        <f>YEAR(Table1[[#This Row],[Data]])</f>
        <v>2017</v>
      </c>
      <c r="K365" s="2" t="str">
        <f>TEXT(Table1[[#This Row],[Data]],"mm")</f>
        <v>04</v>
      </c>
    </row>
    <row r="366" spans="1:11">
      <c r="A366" s="3">
        <v>42836</v>
      </c>
      <c r="B366" s="2" t="s">
        <v>30</v>
      </c>
      <c r="C366" s="2" t="s">
        <v>75</v>
      </c>
      <c r="D366" s="2" t="s">
        <v>35</v>
      </c>
      <c r="E366" s="2" t="s">
        <v>13</v>
      </c>
      <c r="F366" s="2" t="s">
        <v>14</v>
      </c>
      <c r="G366" s="2" t="s">
        <v>40</v>
      </c>
      <c r="H366" s="2" t="s">
        <v>45</v>
      </c>
      <c r="I366" s="2" t="s">
        <v>36</v>
      </c>
      <c r="J366" s="2">
        <f>YEAR(Table1[[#This Row],[Data]])</f>
        <v>2017</v>
      </c>
      <c r="K366" s="2" t="str">
        <f>TEXT(Table1[[#This Row],[Data]],"mm")</f>
        <v>04</v>
      </c>
    </row>
    <row r="367" spans="1:11">
      <c r="A367" s="3">
        <v>42838</v>
      </c>
      <c r="B367" s="2" t="s">
        <v>29</v>
      </c>
      <c r="C367" s="2" t="s">
        <v>66</v>
      </c>
      <c r="D367" s="2" t="s">
        <v>35</v>
      </c>
      <c r="E367" s="2" t="s">
        <v>13</v>
      </c>
      <c r="F367" s="2" t="s">
        <v>14</v>
      </c>
      <c r="G367" s="2" t="s">
        <v>40</v>
      </c>
      <c r="H367" s="2" t="s">
        <v>43</v>
      </c>
      <c r="I367" s="2" t="s">
        <v>36</v>
      </c>
      <c r="J367" s="2">
        <f>YEAR(Table1[[#This Row],[Data]])</f>
        <v>2017</v>
      </c>
      <c r="K367" s="2" t="str">
        <f>TEXT(Table1[[#This Row],[Data]],"mm")</f>
        <v>04</v>
      </c>
    </row>
    <row r="368" spans="1:11">
      <c r="A368" s="3">
        <v>42837</v>
      </c>
      <c r="B368" s="2" t="s">
        <v>31</v>
      </c>
      <c r="C368" s="2" t="s">
        <v>80</v>
      </c>
      <c r="D368" s="2" t="s">
        <v>36</v>
      </c>
      <c r="E368" s="2" t="s">
        <v>13</v>
      </c>
      <c r="F368" s="2" t="s">
        <v>13</v>
      </c>
      <c r="G368" s="2" t="s">
        <v>40</v>
      </c>
      <c r="H368" s="2" t="s">
        <v>44</v>
      </c>
      <c r="I368" s="2" t="s">
        <v>56</v>
      </c>
      <c r="J368" s="2">
        <f>YEAR(Table1[[#This Row],[Data]])</f>
        <v>2017</v>
      </c>
      <c r="K368" s="2" t="str">
        <f>TEXT(Table1[[#This Row],[Data]],"mm")</f>
        <v>04</v>
      </c>
    </row>
    <row r="369" spans="1:11">
      <c r="A369" s="3">
        <v>42848</v>
      </c>
      <c r="B369" s="2" t="s">
        <v>29</v>
      </c>
      <c r="C369" s="2" t="s">
        <v>69</v>
      </c>
      <c r="D369" s="2" t="s">
        <v>35</v>
      </c>
      <c r="E369" s="2" t="s">
        <v>13</v>
      </c>
      <c r="F369" s="2" t="s">
        <v>15</v>
      </c>
      <c r="G369" s="2" t="s">
        <v>40</v>
      </c>
      <c r="H369" s="2" t="s">
        <v>44</v>
      </c>
      <c r="I369" s="2" t="s">
        <v>36</v>
      </c>
      <c r="J369" s="2">
        <f>YEAR(Table1[[#This Row],[Data]])</f>
        <v>2017</v>
      </c>
      <c r="K369" s="2" t="str">
        <f>TEXT(Table1[[#This Row],[Data]],"mm")</f>
        <v>04</v>
      </c>
    </row>
    <row r="370" spans="1:11">
      <c r="A370" s="3">
        <v>42844</v>
      </c>
      <c r="B370" s="2" t="s">
        <v>31</v>
      </c>
      <c r="C370" s="2" t="s">
        <v>80</v>
      </c>
      <c r="D370" s="2" t="s">
        <v>36</v>
      </c>
      <c r="E370" s="2" t="s">
        <v>13</v>
      </c>
      <c r="F370" s="2" t="s">
        <v>16</v>
      </c>
      <c r="G370" s="2" t="s">
        <v>40</v>
      </c>
      <c r="H370" s="2" t="s">
        <v>44</v>
      </c>
      <c r="I370" s="2" t="s">
        <v>36</v>
      </c>
      <c r="J370" s="2">
        <f>YEAR(Table1[[#This Row],[Data]])</f>
        <v>2017</v>
      </c>
      <c r="K370" s="2" t="str">
        <f>TEXT(Table1[[#This Row],[Data]],"mm")</f>
        <v>04</v>
      </c>
    </row>
    <row r="371" spans="1:11">
      <c r="A371" s="3">
        <v>42848</v>
      </c>
      <c r="B371" s="2" t="s">
        <v>29</v>
      </c>
      <c r="C371" s="2" t="s">
        <v>71</v>
      </c>
      <c r="D371" s="2" t="s">
        <v>34</v>
      </c>
      <c r="E371" s="2" t="s">
        <v>13</v>
      </c>
      <c r="F371" s="2" t="s">
        <v>14</v>
      </c>
      <c r="G371" s="2" t="s">
        <v>40</v>
      </c>
      <c r="H371" s="2" t="s">
        <v>44</v>
      </c>
      <c r="I371" s="2" t="s">
        <v>57</v>
      </c>
      <c r="J371" s="2">
        <f>YEAR(Table1[[#This Row],[Data]])</f>
        <v>2017</v>
      </c>
      <c r="K371" s="2" t="str">
        <f>TEXT(Table1[[#This Row],[Data]],"mm")</f>
        <v>04</v>
      </c>
    </row>
    <row r="372" spans="1:11">
      <c r="A372" s="3">
        <v>42850</v>
      </c>
      <c r="B372" s="2" t="s">
        <v>31</v>
      </c>
      <c r="C372" s="2" t="s">
        <v>80</v>
      </c>
      <c r="D372" s="2" t="s">
        <v>36</v>
      </c>
      <c r="E372" s="2" t="s">
        <v>13</v>
      </c>
      <c r="F372" s="2" t="s">
        <v>13</v>
      </c>
      <c r="G372" s="2" t="s">
        <v>40</v>
      </c>
      <c r="H372" s="2" t="s">
        <v>44</v>
      </c>
      <c r="I372" s="2" t="s">
        <v>56</v>
      </c>
      <c r="J372" s="2">
        <f>YEAR(Table1[[#This Row],[Data]])</f>
        <v>2017</v>
      </c>
      <c r="K372" s="2" t="str">
        <f>TEXT(Table1[[#This Row],[Data]],"mm")</f>
        <v>04</v>
      </c>
    </row>
    <row r="373" spans="1:11">
      <c r="A373" s="3">
        <v>42850</v>
      </c>
      <c r="B373" s="2" t="s">
        <v>30</v>
      </c>
      <c r="C373" s="2" t="s">
        <v>75</v>
      </c>
      <c r="D373" s="2" t="s">
        <v>35</v>
      </c>
      <c r="E373" s="2" t="s">
        <v>16</v>
      </c>
      <c r="F373" s="2" t="s">
        <v>17</v>
      </c>
      <c r="G373" s="2" t="s">
        <v>40</v>
      </c>
      <c r="H373" s="2" t="s">
        <v>43</v>
      </c>
      <c r="I373" s="2" t="s">
        <v>60</v>
      </c>
      <c r="J373" s="2">
        <f>YEAR(Table1[[#This Row],[Data]])</f>
        <v>2017</v>
      </c>
      <c r="K373" s="2" t="str">
        <f>TEXT(Table1[[#This Row],[Data]],"mm")</f>
        <v>04</v>
      </c>
    </row>
    <row r="374" spans="1:11">
      <c r="A374" s="3">
        <v>42850</v>
      </c>
      <c r="B374" s="2" t="s">
        <v>29</v>
      </c>
      <c r="C374" s="2" t="s">
        <v>66</v>
      </c>
      <c r="D374" s="2" t="s">
        <v>35</v>
      </c>
      <c r="E374" s="2" t="s">
        <v>16</v>
      </c>
      <c r="F374" s="2" t="s">
        <v>16</v>
      </c>
      <c r="G374" s="2" t="s">
        <v>40</v>
      </c>
      <c r="H374" s="2" t="s">
        <v>43</v>
      </c>
      <c r="I374" s="2" t="s">
        <v>51</v>
      </c>
      <c r="J374" s="2">
        <f>YEAR(Table1[[#This Row],[Data]])</f>
        <v>2017</v>
      </c>
      <c r="K374" s="2" t="str">
        <f>TEXT(Table1[[#This Row],[Data]],"mm")</f>
        <v>04</v>
      </c>
    </row>
    <row r="375" spans="1:11">
      <c r="A375" s="3">
        <v>42849</v>
      </c>
      <c r="B375" s="2" t="s">
        <v>29</v>
      </c>
      <c r="C375" s="2" t="s">
        <v>68</v>
      </c>
      <c r="D375" s="2" t="s">
        <v>35</v>
      </c>
      <c r="E375" s="2" t="s">
        <v>13</v>
      </c>
      <c r="F375" s="2" t="s">
        <v>17</v>
      </c>
      <c r="G375" s="2" t="s">
        <v>40</v>
      </c>
      <c r="H375" s="2" t="s">
        <v>43</v>
      </c>
      <c r="I375" s="2" t="s">
        <v>36</v>
      </c>
      <c r="J375" s="2">
        <f>YEAR(Table1[[#This Row],[Data]])</f>
        <v>2017</v>
      </c>
      <c r="K375" s="2" t="str">
        <f>TEXT(Table1[[#This Row],[Data]],"mm")</f>
        <v>04</v>
      </c>
    </row>
    <row r="376" spans="1:11">
      <c r="A376" s="3">
        <v>42853</v>
      </c>
      <c r="B376" s="2" t="s">
        <v>30</v>
      </c>
      <c r="C376" s="2" t="s">
        <v>70</v>
      </c>
      <c r="D376" s="2" t="s">
        <v>34</v>
      </c>
      <c r="E376" s="2" t="s">
        <v>13</v>
      </c>
      <c r="F376" s="2" t="s">
        <v>14</v>
      </c>
      <c r="G376" s="2" t="s">
        <v>40</v>
      </c>
      <c r="H376" s="2" t="s">
        <v>43</v>
      </c>
      <c r="I376" s="2" t="s">
        <v>36</v>
      </c>
      <c r="J376" s="2">
        <f>YEAR(Table1[[#This Row],[Data]])</f>
        <v>2017</v>
      </c>
      <c r="K376" s="2" t="str">
        <f>TEXT(Table1[[#This Row],[Data]],"mm")</f>
        <v>04</v>
      </c>
    </row>
    <row r="377" spans="1:11">
      <c r="A377" s="3">
        <v>42854</v>
      </c>
      <c r="B377" s="2" t="s">
        <v>30</v>
      </c>
      <c r="C377" s="2" t="s">
        <v>67</v>
      </c>
      <c r="D377" s="2" t="s">
        <v>35</v>
      </c>
      <c r="E377" s="2" t="s">
        <v>14</v>
      </c>
      <c r="F377" s="2" t="s">
        <v>15</v>
      </c>
      <c r="G377" s="2" t="s">
        <v>40</v>
      </c>
      <c r="H377" s="2" t="s">
        <v>43</v>
      </c>
      <c r="I377" s="2" t="s">
        <v>52</v>
      </c>
      <c r="J377" s="2">
        <f>YEAR(Table1[[#This Row],[Data]])</f>
        <v>2017</v>
      </c>
      <c r="K377" s="2" t="str">
        <f>TEXT(Table1[[#This Row],[Data]],"mm")</f>
        <v>04</v>
      </c>
    </row>
    <row r="378" spans="1:11">
      <c r="A378" s="3">
        <v>42855</v>
      </c>
      <c r="B378" s="2" t="s">
        <v>30</v>
      </c>
      <c r="C378" s="2" t="s">
        <v>70</v>
      </c>
      <c r="D378" s="2" t="s">
        <v>34</v>
      </c>
      <c r="E378" s="2" t="s">
        <v>13</v>
      </c>
      <c r="F378" s="2" t="s">
        <v>14</v>
      </c>
      <c r="G378" s="2" t="s">
        <v>40</v>
      </c>
      <c r="H378" s="2" t="s">
        <v>43</v>
      </c>
      <c r="I378" s="2" t="s">
        <v>36</v>
      </c>
      <c r="J378" s="2">
        <f>YEAR(Table1[[#This Row],[Data]])</f>
        <v>2017</v>
      </c>
      <c r="K378" s="2" t="str">
        <f>TEXT(Table1[[#This Row],[Data]],"mm")</f>
        <v>04</v>
      </c>
    </row>
    <row r="379" spans="1:11">
      <c r="A379" s="3">
        <v>42860</v>
      </c>
      <c r="B379" s="2" t="s">
        <v>30</v>
      </c>
      <c r="C379" s="2" t="s">
        <v>67</v>
      </c>
      <c r="D379" s="2" t="s">
        <v>35</v>
      </c>
      <c r="E379" s="2" t="s">
        <v>13</v>
      </c>
      <c r="F379" s="2" t="s">
        <v>14</v>
      </c>
      <c r="G379" s="2" t="s">
        <v>40</v>
      </c>
      <c r="H379" s="2" t="s">
        <v>45</v>
      </c>
      <c r="I379" s="2" t="s">
        <v>36</v>
      </c>
      <c r="J379" s="2">
        <f>YEAR(Table1[[#This Row],[Data]])</f>
        <v>2017</v>
      </c>
      <c r="K379" s="2" t="str">
        <f>TEXT(Table1[[#This Row],[Data]],"mm")</f>
        <v>05</v>
      </c>
    </row>
    <row r="380" spans="1:11">
      <c r="A380" s="3">
        <v>42861</v>
      </c>
      <c r="B380" s="2" t="s">
        <v>29</v>
      </c>
      <c r="C380" s="2" t="s">
        <v>66</v>
      </c>
      <c r="D380" s="2" t="s">
        <v>35</v>
      </c>
      <c r="E380" s="2" t="s">
        <v>15</v>
      </c>
      <c r="F380" s="2" t="s">
        <v>16</v>
      </c>
      <c r="G380" s="2" t="s">
        <v>40</v>
      </c>
      <c r="H380" s="2" t="s">
        <v>44</v>
      </c>
      <c r="I380" s="2" t="s">
        <v>52</v>
      </c>
      <c r="J380" s="2">
        <f>YEAR(Table1[[#This Row],[Data]])</f>
        <v>2017</v>
      </c>
      <c r="K380" s="2" t="str">
        <f>TEXT(Table1[[#This Row],[Data]],"mm")</f>
        <v>05</v>
      </c>
    </row>
    <row r="381" spans="1:11">
      <c r="A381" s="3">
        <v>42861</v>
      </c>
      <c r="B381" s="2" t="s">
        <v>30</v>
      </c>
      <c r="C381" s="2" t="s">
        <v>75</v>
      </c>
      <c r="D381" s="2" t="s">
        <v>35</v>
      </c>
      <c r="E381" s="2" t="s">
        <v>16</v>
      </c>
      <c r="F381" s="2" t="s">
        <v>17</v>
      </c>
      <c r="G381" s="2" t="s">
        <v>40</v>
      </c>
      <c r="H381" s="2" t="s">
        <v>43</v>
      </c>
      <c r="I381" s="2" t="s">
        <v>57</v>
      </c>
      <c r="J381" s="2">
        <f>YEAR(Table1[[#This Row],[Data]])</f>
        <v>2017</v>
      </c>
      <c r="K381" s="2" t="str">
        <f>TEXT(Table1[[#This Row],[Data]],"mm")</f>
        <v>05</v>
      </c>
    </row>
    <row r="382" spans="1:11">
      <c r="A382" s="3">
        <v>42861</v>
      </c>
      <c r="B382" s="2" t="s">
        <v>30</v>
      </c>
      <c r="C382" s="2" t="s">
        <v>75</v>
      </c>
      <c r="D382" s="2" t="s">
        <v>35</v>
      </c>
      <c r="E382" s="2" t="s">
        <v>14</v>
      </c>
      <c r="F382" s="2" t="s">
        <v>17</v>
      </c>
      <c r="G382" s="2" t="s">
        <v>40</v>
      </c>
      <c r="H382" s="2" t="s">
        <v>43</v>
      </c>
      <c r="I382" s="2" t="s">
        <v>57</v>
      </c>
      <c r="J382" s="2">
        <f>YEAR(Table1[[#This Row],[Data]])</f>
        <v>2017</v>
      </c>
      <c r="K382" s="2" t="str">
        <f>TEXT(Table1[[#This Row],[Data]],"mm")</f>
        <v>05</v>
      </c>
    </row>
    <row r="383" spans="1:11">
      <c r="A383" s="3">
        <v>42865</v>
      </c>
      <c r="B383" s="2" t="s">
        <v>29</v>
      </c>
      <c r="C383" s="2" t="s">
        <v>69</v>
      </c>
      <c r="D383" s="2" t="s">
        <v>35</v>
      </c>
      <c r="E383" s="2" t="s">
        <v>17</v>
      </c>
      <c r="F383" s="2" t="s">
        <v>17</v>
      </c>
      <c r="G383" s="2" t="s">
        <v>40</v>
      </c>
      <c r="H383" s="2" t="s">
        <v>44</v>
      </c>
      <c r="I383" s="2" t="s">
        <v>58</v>
      </c>
      <c r="J383" s="2">
        <f>YEAR(Table1[[#This Row],[Data]])</f>
        <v>2017</v>
      </c>
      <c r="K383" s="2" t="str">
        <f>TEXT(Table1[[#This Row],[Data]],"mm")</f>
        <v>05</v>
      </c>
    </row>
    <row r="384" spans="1:11">
      <c r="A384" s="3">
        <v>42871</v>
      </c>
      <c r="B384" s="2" t="s">
        <v>30</v>
      </c>
      <c r="C384" s="2" t="s">
        <v>70</v>
      </c>
      <c r="D384" s="2" t="s">
        <v>34</v>
      </c>
      <c r="E384" s="2" t="s">
        <v>13</v>
      </c>
      <c r="F384" s="2" t="s">
        <v>15</v>
      </c>
      <c r="G384" s="2" t="s">
        <v>39</v>
      </c>
      <c r="H384" s="2" t="s">
        <v>45</v>
      </c>
      <c r="I384" s="2" t="s">
        <v>55</v>
      </c>
      <c r="J384" s="2">
        <f>YEAR(Table1[[#This Row],[Data]])</f>
        <v>2017</v>
      </c>
      <c r="K384" s="2" t="str">
        <f>TEXT(Table1[[#This Row],[Data]],"mm")</f>
        <v>05</v>
      </c>
    </row>
    <row r="385" spans="1:11">
      <c r="A385" s="3">
        <v>42871</v>
      </c>
      <c r="B385" s="2" t="s">
        <v>29</v>
      </c>
      <c r="C385" s="2" t="s">
        <v>68</v>
      </c>
      <c r="D385" s="2" t="s">
        <v>35</v>
      </c>
      <c r="E385" s="2" t="s">
        <v>16</v>
      </c>
      <c r="F385" s="2" t="s">
        <v>16</v>
      </c>
      <c r="G385" s="2" t="s">
        <v>40</v>
      </c>
      <c r="H385" s="2" t="s">
        <v>43</v>
      </c>
      <c r="I385" s="2" t="s">
        <v>36</v>
      </c>
      <c r="J385" s="2">
        <f>YEAR(Table1[[#This Row],[Data]])</f>
        <v>2017</v>
      </c>
      <c r="K385" s="2" t="str">
        <f>TEXT(Table1[[#This Row],[Data]],"mm")</f>
        <v>05</v>
      </c>
    </row>
    <row r="386" spans="1:11">
      <c r="A386" s="3">
        <v>42871</v>
      </c>
      <c r="B386" s="2" t="s">
        <v>30</v>
      </c>
      <c r="C386" s="2" t="s">
        <v>87</v>
      </c>
      <c r="D386" s="2" t="s">
        <v>36</v>
      </c>
      <c r="E386" s="2" t="s">
        <v>13</v>
      </c>
      <c r="F386" s="2" t="s">
        <v>13</v>
      </c>
      <c r="G386" s="2" t="s">
        <v>40</v>
      </c>
      <c r="H386" s="2" t="s">
        <v>43</v>
      </c>
      <c r="I386" s="2" t="s">
        <v>36</v>
      </c>
      <c r="J386" s="2">
        <f>YEAR(Table1[[#This Row],[Data]])</f>
        <v>2017</v>
      </c>
      <c r="K386" s="2" t="str">
        <f>TEXT(Table1[[#This Row],[Data]],"mm")</f>
        <v>05</v>
      </c>
    </row>
    <row r="387" spans="1:11">
      <c r="A387" s="3">
        <v>42872</v>
      </c>
      <c r="B387" s="2" t="s">
        <v>30</v>
      </c>
      <c r="C387" s="2" t="s">
        <v>75</v>
      </c>
      <c r="D387" s="2" t="s">
        <v>35</v>
      </c>
      <c r="E387" s="2" t="s">
        <v>13</v>
      </c>
      <c r="F387" s="2" t="s">
        <v>13</v>
      </c>
      <c r="G387" s="2" t="s">
        <v>40</v>
      </c>
      <c r="H387" s="2" t="s">
        <v>43</v>
      </c>
      <c r="I387" s="2" t="s">
        <v>55</v>
      </c>
      <c r="J387" s="2">
        <f>YEAR(Table1[[#This Row],[Data]])</f>
        <v>2017</v>
      </c>
      <c r="K387" s="2" t="str">
        <f>TEXT(Table1[[#This Row],[Data]],"mm")</f>
        <v>05</v>
      </c>
    </row>
    <row r="388" spans="1:11">
      <c r="A388" s="3">
        <v>42873</v>
      </c>
      <c r="B388" s="2" t="s">
        <v>29</v>
      </c>
      <c r="C388" s="2" t="s">
        <v>71</v>
      </c>
      <c r="D388" s="2" t="s">
        <v>34</v>
      </c>
      <c r="E388" s="2" t="s">
        <v>16</v>
      </c>
      <c r="F388" s="2" t="s">
        <v>16</v>
      </c>
      <c r="G388" s="2" t="s">
        <v>40</v>
      </c>
      <c r="H388" s="2" t="s">
        <v>44</v>
      </c>
      <c r="I388" s="2" t="s">
        <v>51</v>
      </c>
      <c r="J388" s="2">
        <f>YEAR(Table1[[#This Row],[Data]])</f>
        <v>2017</v>
      </c>
      <c r="K388" s="2" t="str">
        <f>TEXT(Table1[[#This Row],[Data]],"mm")</f>
        <v>05</v>
      </c>
    </row>
    <row r="389" spans="1:11">
      <c r="A389" s="3">
        <v>42874</v>
      </c>
      <c r="B389" s="2" t="s">
        <v>29</v>
      </c>
      <c r="C389" s="2" t="s">
        <v>71</v>
      </c>
      <c r="D389" s="2" t="s">
        <v>34</v>
      </c>
      <c r="E389" s="2" t="s">
        <v>13</v>
      </c>
      <c r="F389" s="2" t="s">
        <v>14</v>
      </c>
      <c r="G389" s="2" t="s">
        <v>40</v>
      </c>
      <c r="H389" s="2" t="s">
        <v>43</v>
      </c>
      <c r="I389" s="2" t="s">
        <v>57</v>
      </c>
      <c r="J389" s="2">
        <f>YEAR(Table1[[#This Row],[Data]])</f>
        <v>2017</v>
      </c>
      <c r="K389" s="2" t="str">
        <f>TEXT(Table1[[#This Row],[Data]],"mm")</f>
        <v>05</v>
      </c>
    </row>
    <row r="390" spans="1:11">
      <c r="A390" s="3">
        <v>42878</v>
      </c>
      <c r="B390" s="2" t="s">
        <v>29</v>
      </c>
      <c r="C390" s="2" t="s">
        <v>69</v>
      </c>
      <c r="D390" s="2" t="s">
        <v>35</v>
      </c>
      <c r="E390" s="2" t="s">
        <v>13</v>
      </c>
      <c r="F390" s="2" t="s">
        <v>16</v>
      </c>
      <c r="G390" s="2" t="s">
        <v>40</v>
      </c>
      <c r="H390" s="2" t="s">
        <v>44</v>
      </c>
      <c r="I390" s="2" t="s">
        <v>98</v>
      </c>
      <c r="J390" s="2">
        <f>YEAR(Table1[[#This Row],[Data]])</f>
        <v>2017</v>
      </c>
      <c r="K390" s="2" t="str">
        <f>TEXT(Table1[[#This Row],[Data]],"mm")</f>
        <v>05</v>
      </c>
    </row>
    <row r="391" spans="1:11">
      <c r="A391" s="3">
        <v>42878</v>
      </c>
      <c r="B391" s="2" t="s">
        <v>29</v>
      </c>
      <c r="C391" s="2" t="s">
        <v>68</v>
      </c>
      <c r="D391" s="2" t="s">
        <v>35</v>
      </c>
      <c r="E391" s="2" t="s">
        <v>13</v>
      </c>
      <c r="F391" s="2" t="s">
        <v>16</v>
      </c>
      <c r="G391" s="2" t="s">
        <v>40</v>
      </c>
      <c r="H391" s="2" t="s">
        <v>44</v>
      </c>
      <c r="I391" s="2" t="s">
        <v>36</v>
      </c>
      <c r="J391" s="2">
        <f>YEAR(Table1[[#This Row],[Data]])</f>
        <v>2017</v>
      </c>
      <c r="K391" s="2" t="str">
        <f>TEXT(Table1[[#This Row],[Data]],"mm")</f>
        <v>05</v>
      </c>
    </row>
    <row r="392" spans="1:11">
      <c r="A392" s="3">
        <v>42885</v>
      </c>
      <c r="B392" s="2" t="s">
        <v>30</v>
      </c>
      <c r="C392" s="2" t="s">
        <v>87</v>
      </c>
      <c r="D392" s="2" t="s">
        <v>36</v>
      </c>
      <c r="E392" s="2" t="s">
        <v>13</v>
      </c>
      <c r="F392" s="2" t="s">
        <v>14</v>
      </c>
      <c r="G392" s="2" t="s">
        <v>39</v>
      </c>
      <c r="H392" s="2" t="s">
        <v>43</v>
      </c>
      <c r="I392" s="2" t="s">
        <v>36</v>
      </c>
      <c r="J392" s="2">
        <f>YEAR(Table1[[#This Row],[Data]])</f>
        <v>2017</v>
      </c>
      <c r="K392" s="2" t="str">
        <f>TEXT(Table1[[#This Row],[Data]],"mm")</f>
        <v>05</v>
      </c>
    </row>
    <row r="393" spans="1:11">
      <c r="A393" s="3">
        <v>42890</v>
      </c>
      <c r="B393" s="2" t="s">
        <v>30</v>
      </c>
      <c r="C393" s="2" t="s">
        <v>70</v>
      </c>
      <c r="D393" s="2" t="s">
        <v>34</v>
      </c>
      <c r="E393" s="2" t="s">
        <v>13</v>
      </c>
      <c r="F393" s="2" t="s">
        <v>16</v>
      </c>
      <c r="G393" s="2" t="s">
        <v>40</v>
      </c>
      <c r="H393" s="2" t="s">
        <v>43</v>
      </c>
      <c r="I393" s="2" t="s">
        <v>36</v>
      </c>
      <c r="J393" s="2">
        <f>YEAR(Table1[[#This Row],[Data]])</f>
        <v>2017</v>
      </c>
      <c r="K393" s="2" t="str">
        <f>TEXT(Table1[[#This Row],[Data]],"mm")</f>
        <v>06</v>
      </c>
    </row>
    <row r="394" spans="1:11">
      <c r="A394" s="3">
        <v>42895</v>
      </c>
      <c r="B394" s="2" t="s">
        <v>29</v>
      </c>
      <c r="C394" s="2" t="s">
        <v>68</v>
      </c>
      <c r="D394" s="2" t="s">
        <v>35</v>
      </c>
      <c r="E394" s="2" t="s">
        <v>13</v>
      </c>
      <c r="F394" s="2" t="s">
        <v>16</v>
      </c>
      <c r="G394" s="2" t="s">
        <v>40</v>
      </c>
      <c r="H394" s="2" t="s">
        <v>44</v>
      </c>
      <c r="I394" s="2" t="s">
        <v>57</v>
      </c>
      <c r="J394" s="2">
        <f>YEAR(Table1[[#This Row],[Data]])</f>
        <v>2017</v>
      </c>
      <c r="K394" s="2" t="str">
        <f>TEXT(Table1[[#This Row],[Data]],"mm")</f>
        <v>06</v>
      </c>
    </row>
    <row r="395" spans="1:11">
      <c r="A395" s="3">
        <v>42895</v>
      </c>
      <c r="B395" s="2" t="s">
        <v>29</v>
      </c>
      <c r="C395" s="2" t="s">
        <v>71</v>
      </c>
      <c r="D395" s="2" t="s">
        <v>34</v>
      </c>
      <c r="E395" s="2" t="s">
        <v>13</v>
      </c>
      <c r="F395" s="2" t="s">
        <v>15</v>
      </c>
      <c r="G395" s="2" t="s">
        <v>40</v>
      </c>
      <c r="H395" s="2" t="s">
        <v>44</v>
      </c>
      <c r="I395" s="2" t="s">
        <v>58</v>
      </c>
      <c r="J395" s="2">
        <f>YEAR(Table1[[#This Row],[Data]])</f>
        <v>2017</v>
      </c>
      <c r="K395" s="2" t="str">
        <f>TEXT(Table1[[#This Row],[Data]],"mm")</f>
        <v>06</v>
      </c>
    </row>
    <row r="396" spans="1:11">
      <c r="A396" s="3">
        <v>42897</v>
      </c>
      <c r="B396" s="2" t="s">
        <v>29</v>
      </c>
      <c r="C396" s="2" t="s">
        <v>69</v>
      </c>
      <c r="D396" s="2" t="s">
        <v>35</v>
      </c>
      <c r="E396" s="2" t="s">
        <v>13</v>
      </c>
      <c r="F396" s="2" t="s">
        <v>14</v>
      </c>
      <c r="G396" s="2" t="s">
        <v>40</v>
      </c>
      <c r="H396" s="2" t="s">
        <v>44</v>
      </c>
      <c r="I396" s="2" t="s">
        <v>36</v>
      </c>
      <c r="J396" s="2">
        <f>YEAR(Table1[[#This Row],[Data]])</f>
        <v>2017</v>
      </c>
      <c r="K396" s="2" t="str">
        <f>TEXT(Table1[[#This Row],[Data]],"mm")</f>
        <v>06</v>
      </c>
    </row>
    <row r="397" spans="1:11">
      <c r="A397" s="3">
        <v>42897</v>
      </c>
      <c r="B397" s="2" t="s">
        <v>29</v>
      </c>
      <c r="C397" s="2" t="s">
        <v>69</v>
      </c>
      <c r="D397" s="2" t="s">
        <v>35</v>
      </c>
      <c r="E397" s="2" t="s">
        <v>13</v>
      </c>
      <c r="F397" s="2" t="s">
        <v>14</v>
      </c>
      <c r="G397" s="2" t="s">
        <v>40</v>
      </c>
      <c r="H397" s="2" t="s">
        <v>43</v>
      </c>
      <c r="I397" s="2" t="s">
        <v>51</v>
      </c>
      <c r="J397" s="2">
        <f>YEAR(Table1[[#This Row],[Data]])</f>
        <v>2017</v>
      </c>
      <c r="K397" s="2" t="str">
        <f>TEXT(Table1[[#This Row],[Data]],"mm")</f>
        <v>06</v>
      </c>
    </row>
    <row r="398" spans="1:11">
      <c r="A398" s="3">
        <v>42897</v>
      </c>
      <c r="B398" s="2" t="s">
        <v>29</v>
      </c>
      <c r="C398" s="2" t="s">
        <v>71</v>
      </c>
      <c r="D398" s="2" t="s">
        <v>34</v>
      </c>
      <c r="E398" s="2" t="s">
        <v>13</v>
      </c>
      <c r="F398" s="2" t="s">
        <v>14</v>
      </c>
      <c r="G398" s="2" t="s">
        <v>40</v>
      </c>
      <c r="H398" s="2" t="s">
        <v>44</v>
      </c>
      <c r="I398" s="2" t="s">
        <v>55</v>
      </c>
      <c r="J398" s="2">
        <f>YEAR(Table1[[#This Row],[Data]])</f>
        <v>2017</v>
      </c>
      <c r="K398" s="2" t="str">
        <f>TEXT(Table1[[#This Row],[Data]],"mm")</f>
        <v>06</v>
      </c>
    </row>
    <row r="399" spans="1:11">
      <c r="A399" s="3">
        <v>42897</v>
      </c>
      <c r="B399" s="2" t="s">
        <v>29</v>
      </c>
      <c r="C399" s="2" t="s">
        <v>66</v>
      </c>
      <c r="D399" s="2" t="s">
        <v>35</v>
      </c>
      <c r="E399" s="2" t="s">
        <v>13</v>
      </c>
      <c r="F399" s="2" t="s">
        <v>16</v>
      </c>
      <c r="G399" s="2" t="s">
        <v>40</v>
      </c>
      <c r="H399" s="2" t="s">
        <v>44</v>
      </c>
      <c r="I399" s="2" t="s">
        <v>36</v>
      </c>
      <c r="J399" s="2">
        <f>YEAR(Table1[[#This Row],[Data]])</f>
        <v>2017</v>
      </c>
      <c r="K399" s="2" t="str">
        <f>TEXT(Table1[[#This Row],[Data]],"mm")</f>
        <v>06</v>
      </c>
    </row>
    <row r="400" spans="1:11">
      <c r="A400" s="3">
        <v>42900</v>
      </c>
      <c r="B400" s="2" t="s">
        <v>30</v>
      </c>
      <c r="C400" s="2" t="s">
        <v>67</v>
      </c>
      <c r="D400" s="2" t="s">
        <v>35</v>
      </c>
      <c r="E400" s="2" t="s">
        <v>15</v>
      </c>
      <c r="F400" s="2" t="s">
        <v>16</v>
      </c>
      <c r="G400" s="2" t="s">
        <v>40</v>
      </c>
      <c r="H400" s="2" t="s">
        <v>45</v>
      </c>
      <c r="I400" s="2" t="s">
        <v>51</v>
      </c>
      <c r="J400" s="2">
        <f>YEAR(Table1[[#This Row],[Data]])</f>
        <v>2017</v>
      </c>
      <c r="K400" s="2" t="str">
        <f>TEXT(Table1[[#This Row],[Data]],"mm")</f>
        <v>06</v>
      </c>
    </row>
    <row r="401" spans="1:11">
      <c r="A401" s="3">
        <v>42901</v>
      </c>
      <c r="B401" s="2" t="s">
        <v>29</v>
      </c>
      <c r="C401" s="2" t="s">
        <v>68</v>
      </c>
      <c r="D401" s="2" t="s">
        <v>35</v>
      </c>
      <c r="E401" s="2" t="s">
        <v>13</v>
      </c>
      <c r="F401" s="2" t="s">
        <v>16</v>
      </c>
      <c r="G401" s="2" t="s">
        <v>40</v>
      </c>
      <c r="H401" s="2" t="s">
        <v>43</v>
      </c>
      <c r="I401" s="2" t="s">
        <v>57</v>
      </c>
      <c r="J401" s="2">
        <f>YEAR(Table1[[#This Row],[Data]])</f>
        <v>2017</v>
      </c>
      <c r="K401" s="2" t="str">
        <f>TEXT(Table1[[#This Row],[Data]],"mm")</f>
        <v>06</v>
      </c>
    </row>
    <row r="402" spans="1:11">
      <c r="A402" s="3">
        <v>42903</v>
      </c>
      <c r="B402" s="2" t="s">
        <v>29</v>
      </c>
      <c r="C402" s="2" t="s">
        <v>68</v>
      </c>
      <c r="D402" s="2" t="s">
        <v>35</v>
      </c>
      <c r="E402" s="2" t="s">
        <v>14</v>
      </c>
      <c r="F402" s="2" t="s">
        <v>16</v>
      </c>
      <c r="G402" s="2" t="s">
        <v>40</v>
      </c>
      <c r="H402" s="2" t="s">
        <v>44</v>
      </c>
      <c r="I402" s="2" t="s">
        <v>57</v>
      </c>
      <c r="J402" s="2">
        <f>YEAR(Table1[[#This Row],[Data]])</f>
        <v>2017</v>
      </c>
      <c r="K402" s="2" t="str">
        <f>TEXT(Table1[[#This Row],[Data]],"mm")</f>
        <v>06</v>
      </c>
    </row>
    <row r="403" spans="1:11">
      <c r="A403" s="3">
        <v>42904</v>
      </c>
      <c r="B403" s="2" t="s">
        <v>29</v>
      </c>
      <c r="C403" s="2" t="s">
        <v>69</v>
      </c>
      <c r="D403" s="2" t="s">
        <v>35</v>
      </c>
      <c r="E403" s="2" t="s">
        <v>16</v>
      </c>
      <c r="F403" s="2" t="s">
        <v>16</v>
      </c>
      <c r="G403" s="2" t="s">
        <v>40</v>
      </c>
      <c r="H403" s="2" t="s">
        <v>44</v>
      </c>
      <c r="I403" s="2" t="s">
        <v>60</v>
      </c>
      <c r="J403" s="2">
        <f>YEAR(Table1[[#This Row],[Data]])</f>
        <v>2017</v>
      </c>
      <c r="K403" s="2" t="str">
        <f>TEXT(Table1[[#This Row],[Data]],"mm")</f>
        <v>06</v>
      </c>
    </row>
    <row r="404" spans="1:11">
      <c r="A404" s="3">
        <v>42910</v>
      </c>
      <c r="B404" s="2" t="s">
        <v>29</v>
      </c>
      <c r="C404" s="2" t="s">
        <v>66</v>
      </c>
      <c r="D404" s="2" t="s">
        <v>35</v>
      </c>
      <c r="E404" s="2" t="s">
        <v>14</v>
      </c>
      <c r="F404" s="2" t="s">
        <v>15</v>
      </c>
      <c r="G404" s="2" t="s">
        <v>40</v>
      </c>
      <c r="H404" s="2" t="s">
        <v>43</v>
      </c>
      <c r="I404" s="2" t="s">
        <v>36</v>
      </c>
      <c r="J404" s="2">
        <f>YEAR(Table1[[#This Row],[Data]])</f>
        <v>2017</v>
      </c>
      <c r="K404" s="2" t="str">
        <f>TEXT(Table1[[#This Row],[Data]],"mm")</f>
        <v>06</v>
      </c>
    </row>
    <row r="405" spans="1:11">
      <c r="A405" s="3">
        <v>42906</v>
      </c>
      <c r="B405" s="2" t="s">
        <v>29</v>
      </c>
      <c r="C405" s="2" t="s">
        <v>66</v>
      </c>
      <c r="D405" s="2" t="s">
        <v>35</v>
      </c>
      <c r="E405" s="2" t="s">
        <v>13</v>
      </c>
      <c r="F405" s="2" t="s">
        <v>16</v>
      </c>
      <c r="G405" s="2" t="s">
        <v>40</v>
      </c>
      <c r="H405" s="2" t="s">
        <v>43</v>
      </c>
      <c r="I405" s="2" t="s">
        <v>36</v>
      </c>
      <c r="J405" s="2">
        <f>YEAR(Table1[[#This Row],[Data]])</f>
        <v>2017</v>
      </c>
      <c r="K405" s="2" t="str">
        <f>TEXT(Table1[[#This Row],[Data]],"mm")</f>
        <v>06</v>
      </c>
    </row>
    <row r="406" spans="1:11">
      <c r="A406" s="3">
        <v>42906</v>
      </c>
      <c r="B406" s="2" t="s">
        <v>29</v>
      </c>
      <c r="C406" s="2" t="s">
        <v>66</v>
      </c>
      <c r="D406" s="2" t="s">
        <v>35</v>
      </c>
      <c r="E406" s="2" t="s">
        <v>13</v>
      </c>
      <c r="F406" s="2" t="s">
        <v>16</v>
      </c>
      <c r="G406" s="2" t="s">
        <v>40</v>
      </c>
      <c r="H406" s="2" t="s">
        <v>44</v>
      </c>
      <c r="I406" s="2" t="s">
        <v>36</v>
      </c>
      <c r="J406" s="2">
        <f>YEAR(Table1[[#This Row],[Data]])</f>
        <v>2017</v>
      </c>
      <c r="K406" s="2" t="str">
        <f>TEXT(Table1[[#This Row],[Data]],"mm")</f>
        <v>06</v>
      </c>
    </row>
    <row r="407" spans="1:11">
      <c r="A407" s="3">
        <v>42910</v>
      </c>
      <c r="B407" s="2" t="s">
        <v>29</v>
      </c>
      <c r="C407" s="2" t="s">
        <v>68</v>
      </c>
      <c r="D407" s="2" t="s">
        <v>35</v>
      </c>
      <c r="E407" s="2" t="s">
        <v>13</v>
      </c>
      <c r="F407" s="2" t="s">
        <v>14</v>
      </c>
      <c r="G407" s="2" t="s">
        <v>39</v>
      </c>
      <c r="H407" s="2" t="s">
        <v>44</v>
      </c>
      <c r="I407" s="2" t="s">
        <v>55</v>
      </c>
      <c r="J407" s="2">
        <f>YEAR(Table1[[#This Row],[Data]])</f>
        <v>2017</v>
      </c>
      <c r="K407" s="2" t="str">
        <f>TEXT(Table1[[#This Row],[Data]],"mm")</f>
        <v>06</v>
      </c>
    </row>
    <row r="408" spans="1:11">
      <c r="A408" s="3">
        <v>42909</v>
      </c>
      <c r="B408" s="2" t="s">
        <v>30</v>
      </c>
      <c r="C408" s="2" t="s">
        <v>70</v>
      </c>
      <c r="D408" s="2" t="s">
        <v>34</v>
      </c>
      <c r="E408" s="2" t="s">
        <v>13</v>
      </c>
      <c r="F408" s="2" t="s">
        <v>14</v>
      </c>
      <c r="G408" s="2" t="s">
        <v>40</v>
      </c>
      <c r="H408" s="2" t="s">
        <v>43</v>
      </c>
      <c r="I408" s="2" t="s">
        <v>36</v>
      </c>
      <c r="J408" s="2">
        <f>YEAR(Table1[[#This Row],[Data]])</f>
        <v>2017</v>
      </c>
      <c r="K408" s="2" t="str">
        <f>TEXT(Table1[[#This Row],[Data]],"mm")</f>
        <v>06</v>
      </c>
    </row>
    <row r="409" spans="1:11">
      <c r="A409" s="3">
        <v>42905</v>
      </c>
      <c r="B409" s="2" t="s">
        <v>31</v>
      </c>
      <c r="C409" s="2" t="s">
        <v>80</v>
      </c>
      <c r="D409" s="2" t="s">
        <v>36</v>
      </c>
      <c r="E409" s="2" t="s">
        <v>15</v>
      </c>
      <c r="F409" s="2" t="s">
        <v>16</v>
      </c>
      <c r="G409" s="2" t="s">
        <v>40</v>
      </c>
      <c r="H409" s="2" t="s">
        <v>44</v>
      </c>
      <c r="I409" s="2" t="s">
        <v>36</v>
      </c>
      <c r="J409" s="2">
        <f>YEAR(Table1[[#This Row],[Data]])</f>
        <v>2017</v>
      </c>
      <c r="K409" s="2" t="str">
        <f>TEXT(Table1[[#This Row],[Data]],"mm")</f>
        <v>06</v>
      </c>
    </row>
    <row r="410" spans="1:11">
      <c r="A410" s="3">
        <v>42908</v>
      </c>
      <c r="B410" s="2" t="s">
        <v>31</v>
      </c>
      <c r="C410" s="2" t="s">
        <v>80</v>
      </c>
      <c r="D410" s="2" t="s">
        <v>36</v>
      </c>
      <c r="E410" s="2" t="s">
        <v>13</v>
      </c>
      <c r="F410" s="2" t="s">
        <v>16</v>
      </c>
      <c r="G410" s="2" t="s">
        <v>40</v>
      </c>
      <c r="H410" s="2" t="s">
        <v>43</v>
      </c>
      <c r="I410" s="2" t="s">
        <v>36</v>
      </c>
      <c r="J410" s="2">
        <f>YEAR(Table1[[#This Row],[Data]])</f>
        <v>2017</v>
      </c>
      <c r="K410" s="2" t="str">
        <f>TEXT(Table1[[#This Row],[Data]],"mm")</f>
        <v>06</v>
      </c>
    </row>
    <row r="411" spans="1:11">
      <c r="A411" s="3">
        <v>42908</v>
      </c>
      <c r="B411" s="2" t="s">
        <v>31</v>
      </c>
      <c r="C411" s="2" t="s">
        <v>80</v>
      </c>
      <c r="D411" s="2" t="s">
        <v>36</v>
      </c>
      <c r="E411" s="2" t="s">
        <v>13</v>
      </c>
      <c r="F411" s="2" t="s">
        <v>13</v>
      </c>
      <c r="G411" s="2" t="s">
        <v>40</v>
      </c>
      <c r="H411" s="2" t="s">
        <v>43</v>
      </c>
      <c r="I411" s="2" t="s">
        <v>56</v>
      </c>
      <c r="J411" s="2">
        <f>YEAR(Table1[[#This Row],[Data]])</f>
        <v>2017</v>
      </c>
      <c r="K411" s="2" t="str">
        <f>TEXT(Table1[[#This Row],[Data]],"mm")</f>
        <v>06</v>
      </c>
    </row>
    <row r="412" spans="1:11">
      <c r="A412" s="3">
        <v>42915</v>
      </c>
      <c r="B412" s="2" t="s">
        <v>30</v>
      </c>
      <c r="C412" s="2" t="s">
        <v>67</v>
      </c>
      <c r="D412" s="2" t="s">
        <v>35</v>
      </c>
      <c r="E412" s="2" t="s">
        <v>13</v>
      </c>
      <c r="F412" s="2" t="s">
        <v>15</v>
      </c>
      <c r="G412" s="2" t="s">
        <v>40</v>
      </c>
      <c r="H412" s="2" t="s">
        <v>43</v>
      </c>
      <c r="I412" s="2" t="s">
        <v>51</v>
      </c>
      <c r="J412" s="2">
        <f>YEAR(Table1[[#This Row],[Data]])</f>
        <v>2017</v>
      </c>
      <c r="K412" s="2" t="str">
        <f>TEXT(Table1[[#This Row],[Data]],"mm")</f>
        <v>06</v>
      </c>
    </row>
    <row r="413" spans="1:11">
      <c r="A413" s="3">
        <v>42920</v>
      </c>
      <c r="B413" s="2" t="s">
        <v>29</v>
      </c>
      <c r="C413" s="2" t="s">
        <v>69</v>
      </c>
      <c r="D413" s="2" t="s">
        <v>35</v>
      </c>
      <c r="E413" s="2" t="s">
        <v>13</v>
      </c>
      <c r="F413" s="2" t="s">
        <v>15</v>
      </c>
      <c r="G413" s="2" t="s">
        <v>40</v>
      </c>
      <c r="H413" s="2" t="s">
        <v>44</v>
      </c>
      <c r="I413" s="2" t="s">
        <v>36</v>
      </c>
      <c r="J413" s="2">
        <f>YEAR(Table1[[#This Row],[Data]])</f>
        <v>2017</v>
      </c>
      <c r="K413" s="2" t="str">
        <f>TEXT(Table1[[#This Row],[Data]],"mm")</f>
        <v>07</v>
      </c>
    </row>
    <row r="414" spans="1:11">
      <c r="A414" s="3">
        <v>42920</v>
      </c>
      <c r="B414" s="2" t="s">
        <v>29</v>
      </c>
      <c r="C414" s="2" t="s">
        <v>68</v>
      </c>
      <c r="D414" s="2" t="s">
        <v>35</v>
      </c>
      <c r="E414" s="2" t="s">
        <v>13</v>
      </c>
      <c r="F414" s="2" t="s">
        <v>14</v>
      </c>
      <c r="G414" s="2" t="s">
        <v>39</v>
      </c>
      <c r="H414" s="2" t="s">
        <v>43</v>
      </c>
      <c r="I414" s="2" t="s">
        <v>36</v>
      </c>
      <c r="J414" s="2">
        <f>YEAR(Table1[[#This Row],[Data]])</f>
        <v>2017</v>
      </c>
      <c r="K414" s="2" t="str">
        <f>TEXT(Table1[[#This Row],[Data]],"mm")</f>
        <v>07</v>
      </c>
    </row>
    <row r="415" spans="1:11">
      <c r="A415" s="3">
        <v>42921</v>
      </c>
      <c r="B415" s="2" t="s">
        <v>30</v>
      </c>
      <c r="C415" s="2" t="s">
        <v>82</v>
      </c>
      <c r="D415" s="2" t="s">
        <v>34</v>
      </c>
      <c r="E415" s="2" t="s">
        <v>13</v>
      </c>
      <c r="F415" s="2" t="s">
        <v>14</v>
      </c>
      <c r="G415" s="2" t="s">
        <v>40</v>
      </c>
      <c r="H415" s="2" t="s">
        <v>43</v>
      </c>
      <c r="I415" s="2" t="s">
        <v>56</v>
      </c>
      <c r="J415" s="2">
        <f>YEAR(Table1[[#This Row],[Data]])</f>
        <v>2017</v>
      </c>
      <c r="K415" s="2" t="str">
        <f>TEXT(Table1[[#This Row],[Data]],"mm")</f>
        <v>07</v>
      </c>
    </row>
    <row r="416" spans="1:11">
      <c r="A416" s="3">
        <v>42922</v>
      </c>
      <c r="B416" s="2" t="s">
        <v>30</v>
      </c>
      <c r="C416" s="2" t="s">
        <v>70</v>
      </c>
      <c r="D416" s="2" t="s">
        <v>34</v>
      </c>
      <c r="E416" s="2" t="s">
        <v>13</v>
      </c>
      <c r="F416" s="2" t="s">
        <v>14</v>
      </c>
      <c r="G416" s="2" t="s">
        <v>40</v>
      </c>
      <c r="H416" s="2" t="s">
        <v>43</v>
      </c>
      <c r="I416" s="2" t="s">
        <v>55</v>
      </c>
      <c r="J416" s="2">
        <f>YEAR(Table1[[#This Row],[Data]])</f>
        <v>2017</v>
      </c>
      <c r="K416" s="2" t="str">
        <f>TEXT(Table1[[#This Row],[Data]],"mm")</f>
        <v>07</v>
      </c>
    </row>
    <row r="417" spans="1:11">
      <c r="A417" s="3">
        <v>42925</v>
      </c>
      <c r="B417" s="2" t="s">
        <v>29</v>
      </c>
      <c r="C417" s="2" t="s">
        <v>69</v>
      </c>
      <c r="D417" s="2" t="s">
        <v>35</v>
      </c>
      <c r="E417" s="2" t="s">
        <v>13</v>
      </c>
      <c r="F417" s="2" t="s">
        <v>14</v>
      </c>
      <c r="G417" s="2" t="s">
        <v>39</v>
      </c>
      <c r="H417" s="2" t="s">
        <v>44</v>
      </c>
      <c r="I417" s="2" t="s">
        <v>62</v>
      </c>
      <c r="J417" s="2">
        <f>YEAR(Table1[[#This Row],[Data]])</f>
        <v>2017</v>
      </c>
      <c r="K417" s="2" t="str">
        <f>TEXT(Table1[[#This Row],[Data]],"mm")</f>
        <v>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2026-05-05T13:12:19Z</dcterms:created>
  <dcterms:modified xsi:type="dcterms:W3CDTF">2026-06-23T16:57:31Z</dcterms:modified>
  <cp:category/>
  <cp:contentStatus/>
</cp:coreProperties>
</file>